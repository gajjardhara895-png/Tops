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BF933890-1E01-436C-9A1C-7533E7DB4A20}" xr6:coauthVersionLast="47" xr6:coauthVersionMax="47" xr10:uidLastSave="{00000000-0000-0000-0000-000000000000}"/>
  <bookViews>
    <workbookView xWindow="-110" yWindow="-110" windowWidth="19420" windowHeight="10300" activeTab="3" xr2:uid="{25A80D25-3B62-4D31-9FD9-C05C7419E722}"/>
  </bookViews>
  <sheets>
    <sheet name="Sheet4" sheetId="6" r:id="rId1"/>
    <sheet name="Sheet5" sheetId="7" r:id="rId2"/>
    <sheet name="Sheet1" sheetId="1" r:id="rId3"/>
    <sheet name="Sheet3" sheetId="3" r:id="rId4"/>
  </sheets>
  <definedNames>
    <definedName name="NativeTimeline_Order_Date">#N/A</definedName>
    <definedName name="Slicer_Months__Order_Date">#N/A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6" l="1"/>
  <c r="M10" i="6"/>
  <c r="M8" i="6"/>
  <c r="S90" i="1"/>
  <c r="S91" i="1"/>
  <c r="S92" i="1"/>
  <c r="S89" i="1"/>
  <c r="S84" i="1"/>
  <c r="S85" i="1"/>
  <c r="S86" i="1"/>
  <c r="S83" i="1"/>
  <c r="S78" i="1"/>
  <c r="S79" i="1"/>
  <c r="S80" i="1"/>
  <c r="S77" i="1"/>
  <c r="S71" i="1"/>
  <c r="S72" i="1"/>
  <c r="S73" i="1"/>
  <c r="S74" i="1"/>
  <c r="S16" i="1"/>
  <c r="S66" i="1"/>
  <c r="S67" i="1"/>
  <c r="S68" i="1"/>
  <c r="S65" i="1"/>
  <c r="S60" i="1"/>
  <c r="S61" i="1"/>
  <c r="S62" i="1"/>
  <c r="S59" i="1"/>
  <c r="S54" i="1"/>
  <c r="S55" i="1"/>
  <c r="S56" i="1"/>
  <c r="S53" i="1"/>
  <c r="S47" i="1"/>
  <c r="S48" i="1"/>
  <c r="S49" i="1"/>
  <c r="S46" i="1"/>
  <c r="S41" i="1"/>
  <c r="P2" i="1"/>
  <c r="S40" i="1" s="1"/>
  <c r="P3" i="1"/>
  <c r="P4" i="1"/>
  <c r="S42" i="1" s="1"/>
  <c r="P5" i="1"/>
  <c r="S43" i="1" s="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S35" i="1"/>
  <c r="S36" i="1"/>
  <c r="S37" i="1"/>
  <c r="S34" i="1"/>
  <c r="S29" i="1"/>
  <c r="S30" i="1"/>
  <c r="S31" i="1"/>
  <c r="S28" i="1"/>
  <c r="S23" i="1"/>
  <c r="S24" i="1"/>
  <c r="S25" i="1"/>
  <c r="S22" i="1"/>
  <c r="S17" i="1"/>
  <c r="S18" i="1"/>
  <c r="S19" i="1"/>
  <c r="S11" i="1"/>
  <c r="S12" i="1"/>
  <c r="S13" i="1"/>
  <c r="S10" i="1"/>
  <c r="S4" i="1"/>
  <c r="S5" i="1"/>
  <c r="S6" i="1"/>
  <c r="S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9B3E6B-1104-4591-8A86-F7A739FCA2D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<sst xmlns="http://schemas.openxmlformats.org/spreadsheetml/2006/main" count="1341" uniqueCount="291">
  <si>
    <t>ORD0001</t>
  </si>
  <si>
    <t>Personal Care</t>
  </si>
  <si>
    <t>Shampoo</t>
  </si>
  <si>
    <t>Delhi</t>
  </si>
  <si>
    <t>Wallet</t>
  </si>
  <si>
    <t>ORD0002</t>
  </si>
  <si>
    <t>Bakery</t>
  </si>
  <si>
    <t>Donut</t>
  </si>
  <si>
    <t>ORD0003</t>
  </si>
  <si>
    <t>Face Wash</t>
  </si>
  <si>
    <t>Pune</t>
  </si>
  <si>
    <t>Maharashtra</t>
  </si>
  <si>
    <t>Credit Card</t>
  </si>
  <si>
    <t>ORD0004</t>
  </si>
  <si>
    <t>Beverages</t>
  </si>
  <si>
    <t>Juice</t>
  </si>
  <si>
    <t>Chennai</t>
  </si>
  <si>
    <t>Tamil Nadu</t>
  </si>
  <si>
    <t>Cash on Delivery</t>
  </si>
  <si>
    <t>ORD0005</t>
  </si>
  <si>
    <t>Snacks</t>
  </si>
  <si>
    <t>Noodles</t>
  </si>
  <si>
    <t>ORD0006</t>
  </si>
  <si>
    <t>Household</t>
  </si>
  <si>
    <t>Mop</t>
  </si>
  <si>
    <t>Kolkata</t>
  </si>
  <si>
    <t>West Bengal</t>
  </si>
  <si>
    <t>Debit Card</t>
  </si>
  <si>
    <t>ORD0007</t>
  </si>
  <si>
    <t>Cleaner</t>
  </si>
  <si>
    <t>Mumbai</t>
  </si>
  <si>
    <t>ORD0008</t>
  </si>
  <si>
    <t>Dairy</t>
  </si>
  <si>
    <t>Butter</t>
  </si>
  <si>
    <t>ORD0009</t>
  </si>
  <si>
    <t>Chocolate</t>
  </si>
  <si>
    <t>Hyderabad</t>
  </si>
  <si>
    <t>Telangana</t>
  </si>
  <si>
    <t>UPI</t>
  </si>
  <si>
    <t>ORD0010</t>
  </si>
  <si>
    <t>ORD0011</t>
  </si>
  <si>
    <t>Lotion</t>
  </si>
  <si>
    <t>Bangalore</t>
  </si>
  <si>
    <t>Karnataka</t>
  </si>
  <si>
    <t>ORD0012</t>
  </si>
  <si>
    <t>ORD0013</t>
  </si>
  <si>
    <t>Cheese</t>
  </si>
  <si>
    <t>ORD0014</t>
  </si>
  <si>
    <t>Detergent</t>
  </si>
  <si>
    <t>ORD0015</t>
  </si>
  <si>
    <t>Curd</t>
  </si>
  <si>
    <t>ORD0016</t>
  </si>
  <si>
    <t>Muffin</t>
  </si>
  <si>
    <t>ORD0017</t>
  </si>
  <si>
    <t>Tea</t>
  </si>
  <si>
    <t>ORD0018</t>
  </si>
  <si>
    <t>Bread</t>
  </si>
  <si>
    <t>ORD0019</t>
  </si>
  <si>
    <t>ORD0020</t>
  </si>
  <si>
    <t>Ahmedabad</t>
  </si>
  <si>
    <t>Gujarat</t>
  </si>
  <si>
    <t>ORD0021</t>
  </si>
  <si>
    <t>Cake</t>
  </si>
  <si>
    <t>ORD0022</t>
  </si>
  <si>
    <t>Fruits &amp; Vegetables</t>
  </si>
  <si>
    <t>Onion</t>
  </si>
  <si>
    <t>ORD0023</t>
  </si>
  <si>
    <t>Coffee</t>
  </si>
  <si>
    <t>ORD0024</t>
  </si>
  <si>
    <t>ORD0025</t>
  </si>
  <si>
    <t>ORD0026</t>
  </si>
  <si>
    <t>ORD0027</t>
  </si>
  <si>
    <t>ORD0028</t>
  </si>
  <si>
    <t>Energy Drink</t>
  </si>
  <si>
    <t>ORD0029</t>
  </si>
  <si>
    <t>Toothpaste</t>
  </si>
  <si>
    <t>ORD0030</t>
  </si>
  <si>
    <t>Banana</t>
  </si>
  <si>
    <t>ORD0031</t>
  </si>
  <si>
    <t>ORD0032</t>
  </si>
  <si>
    <t>ORD0033</t>
  </si>
  <si>
    <t>Potato</t>
  </si>
  <si>
    <t>ORD0034</t>
  </si>
  <si>
    <t>ORD0035</t>
  </si>
  <si>
    <t>ORD0036</t>
  </si>
  <si>
    <t>ORD0037</t>
  </si>
  <si>
    <t>ORD0038</t>
  </si>
  <si>
    <t>Biscuits</t>
  </si>
  <si>
    <t>ORD0039</t>
  </si>
  <si>
    <t>Tomato</t>
  </si>
  <si>
    <t>ORD0040</t>
  </si>
  <si>
    <t>Milk</t>
  </si>
  <si>
    <t>ORD0041</t>
  </si>
  <si>
    <t>ORD0042</t>
  </si>
  <si>
    <t>ORD0043</t>
  </si>
  <si>
    <t>ORD0044</t>
  </si>
  <si>
    <t>ORD0045</t>
  </si>
  <si>
    <t>ORD0046</t>
  </si>
  <si>
    <t>ORD0047</t>
  </si>
  <si>
    <t>Soap</t>
  </si>
  <si>
    <t>ORD0048</t>
  </si>
  <si>
    <t>ORD0049</t>
  </si>
  <si>
    <t>ORD0050</t>
  </si>
  <si>
    <t>ORD0051</t>
  </si>
  <si>
    <t>Soda</t>
  </si>
  <si>
    <t>ORD0052</t>
  </si>
  <si>
    <t>ORD0053</t>
  </si>
  <si>
    <t>Apple</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</si>
  <si>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</si>
  <si>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</si>
  <si>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</si>
  <si>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</si>
  <si>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</si>
  <si>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</si>
  <si>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</si>
  <si>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</si>
  <si>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</si>
  <si>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</si>
  <si>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</si>
  <si>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</si>
  <si>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</si>
  <si>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</si>
  <si>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</si>
  <si>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</si>
  <si>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</si>
  <si>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</si>
  <si>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</si>
  <si>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</si>
  <si>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</si>
  <si>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Popcorn</t>
  </si>
  <si>
    <t>ORD0075</t>
  </si>
  <si>
    <t>ORD0076</t>
  </si>
  <si>
    <t>ORD0077</t>
  </si>
  <si>
    <t>ORD0078</t>
  </si>
  <si>
    <t>ORD0079</t>
  </si>
  <si>
    <t>ORD0080</t>
  </si>
  <si>
    <t>ORD0081</t>
  </si>
  <si>
    <t>ORD0082</t>
  </si>
  <si>
    <t>ORD0083</t>
  </si>
  <si>
    <t>ORD0084</t>
  </si>
  <si>
    <t>ORD0085</t>
  </si>
  <si>
    <t>Dish Soap</t>
  </si>
  <si>
    <t>ORD0086</t>
  </si>
  <si>
    <t>ORD0087</t>
  </si>
  <si>
    <t>ORD0088</t>
  </si>
  <si>
    <t>ORD0089</t>
  </si>
  <si>
    <t>ORD0090</t>
  </si>
  <si>
    <t>ORD0091</t>
  </si>
  <si>
    <t>ORD0092</t>
  </si>
  <si>
    <t>ORD0093</t>
  </si>
  <si>
    <t>Tissue</t>
  </si>
  <si>
    <t>ORD0094</t>
  </si>
  <si>
    <t>ORD0095</t>
  </si>
  <si>
    <t>ORD0096</t>
  </si>
  <si>
    <t>Chips</t>
  </si>
  <si>
    <t>ORD0097</t>
  </si>
  <si>
    <t>Paneer</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</si>
  <si>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</si>
  <si>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</si>
  <si>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</si>
  <si>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</si>
  <si>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</si>
  <si>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</si>
  <si>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</si>
  <si>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</si>
  <si>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</si>
  <si>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</si>
  <si>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</si>
  <si>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</si>
  <si>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</si>
  <si>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</si>
  <si>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</si>
  <si>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</si>
  <si>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</si>
  <si>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</si>
  <si>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</si>
  <si>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</si>
  <si>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</si>
  <si>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</si>
  <si>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</si>
  <si>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</si>
  <si>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</si>
  <si>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</si>
  <si>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</si>
  <si>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</si>
  <si>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</si>
  <si>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</si>
  <si>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</si>
  <si>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</si>
  <si>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</si>
  <si>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</si>
  <si>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</si>
  <si>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</si>
  <si>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</si>
  <si>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</si>
  <si>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</si>
  <si>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</si>
  <si>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</si>
  <si>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</si>
  <si>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</si>
  <si>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Croissant</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</si>
  <si>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</si>
  <si>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</si>
  <si>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</si>
  <si>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</si>
  <si>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</si>
  <si>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</si>
  <si>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</si>
  <si>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</si>
  <si>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</si>
  <si>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</si>
  <si>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</si>
  <si>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</si>
  <si>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</si>
  <si>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</si>
  <si>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</si>
  <si>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</si>
  <si>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</si>
  <si>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</si>
  <si>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</si>
  <si>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</si>
  <si>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</si>
  <si>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</si>
  <si>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</si>
  <si>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</si>
  <si>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</si>
  <si>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</si>
  <si>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</si>
  <si>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</si>
  <si>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</si>
  <si>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</si>
  <si>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</si>
  <si>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</si>
  <si>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</si>
  <si>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</si>
  <si>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</si>
  <si>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</si>
  <si>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</si>
  <si>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</si>
  <si>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</si>
  <si>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</si>
  <si>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</si>
  <si>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</si>
  <si>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</si>
  <si>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</si>
  <si>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</si>
  <si>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</si>
  <si>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</si>
  <si>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</si>
  <si>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</si>
  <si>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</si>
  <si>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</si>
  <si>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</si>
  <si>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</si>
  <si>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</si>
  <si>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</si>
  <si>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</si>
  <si>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</si>
  <si>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</si>
  <si>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</si>
  <si>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</si>
  <si>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Order ID</t>
  </si>
  <si>
    <t>Order Date</t>
  </si>
  <si>
    <t>Product Category</t>
  </si>
  <si>
    <t>Product Name</t>
  </si>
  <si>
    <t>City</t>
  </si>
  <si>
    <t>State</t>
  </si>
  <si>
    <t>Order Quantity</t>
  </si>
  <si>
    <t>Selling Price</t>
  </si>
  <si>
    <t>Cost Price</t>
  </si>
  <si>
    <t>Discount (%)</t>
  </si>
  <si>
    <t>Delivery Time (min)</t>
  </si>
  <si>
    <t>Payment Mode</t>
  </si>
  <si>
    <t xml:space="preserve">total sale </t>
  </si>
  <si>
    <t>Total cost</t>
  </si>
  <si>
    <t>Profit</t>
  </si>
  <si>
    <t>VLOOKUP</t>
  </si>
  <si>
    <t>GST Tax (18%)</t>
  </si>
  <si>
    <t>HLOOKUP</t>
  </si>
  <si>
    <t>Row Labels</t>
  </si>
  <si>
    <t>Grand Total</t>
  </si>
  <si>
    <t>Count of Product Name</t>
  </si>
  <si>
    <t>Count of City</t>
  </si>
  <si>
    <t>Sum of Order Quantity</t>
  </si>
  <si>
    <t>Sum of Cost Price</t>
  </si>
  <si>
    <t>Sum of Profit</t>
  </si>
  <si>
    <t>(All)</t>
  </si>
  <si>
    <t>Total Profit</t>
  </si>
  <si>
    <t>Total Selling Price</t>
  </si>
  <si>
    <t>Total Cost Price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</si>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</sst>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Aptos Narrow"/>
      <family val="2"/>
      <scheme val="minor"/>
    </font>
    <font>
      <sz val="8"/>
      <name val="Aptos Narrow"/>
      <family val="2"/>
      <scheme val="minor"/>
    </font>
    <font>
      <sz val="14"/>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horizontal="center" vertical="top"/>
    </xf>
    <xf numFmtId="14" fontId="0" fillId="0" borderId="0" xfId="0" applyNumberFormat="1" applyAlignment="1">
      <alignment horizontal="center" vertical="top"/>
    </xf>
    <xf numFmtId="0" fontId="0" fillId="0" borderId="0" xfId="0" pivotButton="1"/>
    <xf numFmtId="0" fontId="0" fillId="0" borderId="0" xfId="0" applyAlignment="1">
      <alignment horizontal="left"/>
    </xf>
    <xf numFmtId="0" fontId="4" fillId="0" borderId="0" xfId="0" applyFont="1"/>
    <xf numFmtId="0" fontId="3" fillId="2" borderId="2" xfId="0" applyFont="1" applyFill="1" applyBorder="1" applyAlignment="1">
      <alignment horizontal="center"/>
    </xf>
  </cellXfs>
  <cellStyles count="1">
    <cellStyle name="Normal" xfId="0" builtinId="0"/>
  </cellStyles>
  <dxfs count="24">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sz val="22"/>
        <color theme="1"/>
        <name val="Aptos Narrow"/>
        <family val="2"/>
        <scheme val="minor"/>
      </font>
      <fill>
        <patternFill patternType="solid">
          <fgColor auto="1"/>
          <bgColor theme="1" tint="0.14996795556505021"/>
        </patternFill>
      </fill>
    </dxf>
    <dxf>
      <font>
        <sz val="22"/>
      </font>
      <fill>
        <patternFill patternType="solid">
          <fgColor theme="0"/>
          <bgColor theme="1"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bgColor theme="4" tint="0.79998168889431442"/>
        </patternFill>
      </fill>
    </dxf>
    <dxf>
      <fill>
        <patternFill patternType="solid">
          <fgColor theme="0"/>
          <bgColor theme="3" tint="0.749961851863155"/>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1"/>
      </font>
    </dxf>
    <dxf>
      <font>
        <b/>
        <i val="0"/>
        <sz val="8"/>
        <color theme="1"/>
      </font>
      <fill>
        <gradientFill degree="90">
          <stop position="0">
            <color theme="0"/>
          </stop>
          <stop position="1">
            <color theme="4"/>
          </stop>
        </gradientFill>
      </fill>
      <border>
        <left style="thin">
          <color auto="1"/>
        </left>
        <right style="thin">
          <color auto="1"/>
        </right>
        <top style="thin">
          <color auto="1"/>
        </top>
        <bottom style="thin">
          <color auto="1"/>
        </bottom>
      </border>
    </dxf>
    <dxf>
      <font>
        <b/>
        <i val="0"/>
        <sz val="10"/>
        <color theme="1"/>
      </font>
    </dxf>
    <dxf>
      <font>
        <b/>
        <i val="0"/>
        <sz val="8"/>
        <color theme="1" tint="4.9989318521683403E-2"/>
        <name val="Aptos Narrow"/>
        <family val="2"/>
        <scheme val="minor"/>
      </font>
      <fill>
        <gradientFill degree="90">
          <stop position="0">
            <color theme="0"/>
          </stop>
          <stop position="1">
            <color rgb="FFBDEEF5"/>
          </stop>
        </gradientFill>
      </fill>
      <border>
        <left style="thin">
          <color auto="1"/>
        </left>
        <right style="thin">
          <color auto="1"/>
        </right>
        <top style="thin">
          <color auto="1"/>
        </top>
        <bottom style="thin">
          <color auto="1"/>
        </bottom>
      </border>
    </dxf>
    <dxf>
      <font>
        <b/>
        <i val="0"/>
        <u val="none"/>
        <color rgb="FFBDEEF5"/>
        <name val="Aptos Display"/>
        <family val="2"/>
        <scheme val="none"/>
      </font>
    </dxf>
    <dxf>
      <font>
        <b/>
        <i val="0"/>
        <color theme="0"/>
      </font>
    </dxf>
    <dxf>
      <font>
        <b/>
        <i val="0"/>
        <sz val="10"/>
        <color theme="0"/>
      </font>
    </dxf>
  </dxfs>
  <tableStyles count="8" defaultTableStyle="TableStyleMedium2" defaultPivotStyle="PivotStyleLight16">
    <tableStyle name="Slicer Style 1" pivot="0" table="0" count="7" xr9:uid="{58C71E1A-ED97-4943-9061-BAE8BB3F3637}">
      <tableStyleElement type="wholeTable" dxfId="23"/>
      <tableStyleElement type="headerRow" dxfId="22"/>
    </tableStyle>
    <tableStyle name="Slicer Style 2" pivot="0" table="0" count="1" xr9:uid="{02B496C8-57EA-4A7B-A4F5-25D53DD6FFF6}">
      <tableStyleElement type="wholeTable" dxfId="21"/>
    </tableStyle>
    <tableStyle name="Slicer Style 3" pivot="0" table="0" count="10" xr9:uid="{78B211E2-9DA6-4A07-8CB9-55EA23970227}">
      <tableStyleElement type="wholeTable" dxfId="20"/>
      <tableStyleElement type="headerRow" dxfId="19"/>
    </tableStyle>
    <tableStyle name="Slicer Style 4" pivot="0" table="0" count="0" xr9:uid="{4D8F9A15-630D-4CD5-BFD4-1120A0ECEFC1}"/>
    <tableStyle name="Slicer Style 5" pivot="0" table="0" count="1" xr9:uid="{FE7BE8BB-5365-4A76-A16D-B42DBA9E6EF7}">
      <tableStyleElement type="wholeTable" dxfId="18"/>
    </tableStyle>
    <tableStyle name="Slicer Style 6" pivot="0" table="0" count="1" xr9:uid="{263AF4F0-9BC6-4548-9A7E-603B43DE66F4}">
      <tableStyleElement type="wholeTable" dxfId="17"/>
    </tableStyle>
    <tableStyle name="Timeline Style 1" pivot="0" table="0" count="9" xr9:uid="{4AB39322-D4D7-49C2-86BF-13832669CEE1}">
      <tableStyleElement type="wholeTable" dxfId="16"/>
      <tableStyleElement type="headerRow" dxfId="15"/>
    </tableStyle>
    <tableStyle name="Timeline Style 2" pivot="0" table="0" count="9" xr9:uid="{EFDE46AA-6A5A-426E-B355-F6563D631ABD}">
      <tableStyleElement type="wholeTable" dxfId="14"/>
      <tableStyleElement type="headerRow" dxfId="13"/>
    </tableStyle>
  </tableStyles>
  <colors>
    <mruColors>
      <color rgb="FFBDEEF5"/>
      <color rgb="FFFF66FF"/>
      <color rgb="FFF5BCF6"/>
      <color rgb="FF000000"/>
      <color rgb="FFC2EFF0"/>
    </mruColors>
  </colors>
  <extLst>
    <ext xmlns:x14="http://schemas.microsoft.com/office/spreadsheetml/2009/9/main" uri="{46F421CA-312F-682f-3DD2-61675219B42D}">
      <x14:dxfs count="13">
        <dxf>
          <font>
            <color theme="1"/>
          </font>
        </dxf>
        <dxf>
          <font>
            <color theme="1"/>
          </font>
        </dxf>
        <dxf>
          <font>
            <b/>
            <i val="0"/>
            <color theme="1"/>
          </font>
        </dxf>
        <dxf>
          <font>
            <b/>
            <i val="0"/>
            <color theme="1"/>
          </font>
        </dxf>
        <dxf>
          <font>
            <b/>
            <i val="0"/>
            <color theme="0"/>
          </font>
        </dxf>
        <dxf>
          <font>
            <b/>
            <i val="0"/>
            <color theme="1"/>
          </font>
        </dxf>
        <dxf>
          <font>
            <b/>
            <i val="0"/>
            <color theme="0"/>
          </font>
        </dxf>
        <dxf>
          <font>
            <color theme="0"/>
          </font>
        </dxf>
        <dxf>
          <font>
            <color theme="1"/>
          </font>
        </dxf>
        <dxf>
          <font>
            <b/>
            <i val="0"/>
            <color theme="1"/>
          </font>
        </dxf>
        <dxf>
          <font>
            <b/>
            <i val="0"/>
            <color theme="1"/>
          </font>
        </dxf>
        <dxf>
          <font>
            <color theme="0"/>
          </font>
        </dxf>
        <dxf>
          <font>
            <color theme="1"/>
          </font>
        </dxf>
      </x14:dxfs>
    </ext>
    <ext xmlns:x14="http://schemas.microsoft.com/office/spreadsheetml/2009/9/main" uri="{EB79DEF2-80B8-43e5-95BD-54CBDDF9020C}">
      <x14:slicerStyles defaultSlicerStyle="Slicer Style 2">
        <x14:slicerStyle name="Slicer Style 1">
          <x14:slicerStyleElements>
            <x14:slicerStyleElement type="unselectedItemWithNoData" dxfId="12"/>
            <x14:slicerStyleElement type="selectedItemWithData" dxfId="11"/>
            <x14:slicerStyleElement type="selectedItemWithNoData" dxfId="10"/>
            <x14:slicerStyleElement type="hoveredUnselectedItemWithData" dxfId="9"/>
            <x14:slicerStyleElement type="hoveredUnselectedItemWithNoData" dxfId="8"/>
          </x14:slicerStyleElements>
        </x14:slicerStyle>
        <x14:slicerStyle name="Slicer Style 2"/>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4"/>
        <x14:slicerStyle name="Slicer Style 5"/>
        <x14:slicerStyle name="Slicer Style 6"/>
      </x14:slicerStyles>
    </ext>
    <ext xmlns:x15="http://schemas.microsoft.com/office/spreadsheetml/2010/11/main" uri="{A0A4C193-F2C1-4fcb-8827-314CF55A85BB}">
      <x15:dxfs count="14">
        <dxf>
          <fill>
            <gradientFill degree="90">
              <stop position="0">
                <color theme="0"/>
              </stop>
              <stop position="1">
                <color rgb="FFBDEEF5"/>
              </stop>
            </gradientFill>
          </fill>
        </dxf>
        <dxf>
          <fill>
            <gradientFill degree="90">
              <stop position="0">
                <color theme="0"/>
              </stop>
              <stop position="1">
                <color rgb="FFF5BCF6"/>
              </stop>
            </gradientFill>
          </fill>
        </dxf>
        <dxf>
          <fill>
            <gradientFill degree="90">
              <stop position="0">
                <color theme="0"/>
              </stop>
              <stop position="1">
                <color rgb="FFBDEEF5"/>
              </stop>
            </gradientFill>
          </fill>
          <border>
            <left style="thin">
              <color auto="1"/>
            </left>
            <right style="thin">
              <color auto="1"/>
            </right>
            <top style="thin">
              <color auto="1"/>
            </top>
            <bottom style="thin">
              <color auto="1"/>
            </bottom>
          </border>
        </dxf>
        <dxf>
          <font>
            <b/>
            <i val="0"/>
            <sz val="22"/>
            <color theme="0"/>
            <name val="Aptos Narrow"/>
            <family val="2"/>
            <scheme val="minor"/>
          </font>
        </dxf>
        <dxf>
          <font>
            <b/>
            <i val="0"/>
            <sz val="22"/>
            <color theme="0"/>
            <name val="Aptos Narrow"/>
            <family val="2"/>
            <scheme val="minor"/>
          </font>
        </dxf>
        <dxf>
          <font>
            <b/>
            <i val="0"/>
            <sz val="22"/>
            <color theme="0"/>
            <name val="Aptos Narrow"/>
            <family val="2"/>
            <scheme val="minor"/>
          </font>
        </dxf>
        <dxf>
          <font>
            <b/>
            <i val="0"/>
            <sz val="22"/>
            <color theme="0"/>
            <name val="Aptos Narrow"/>
            <family val="2"/>
            <scheme val="minor"/>
          </font>
        </dxf>
        <dxf>
          <fill>
            <patternFill>
              <bgColor theme="1"/>
            </patternFill>
          </fill>
        </dxf>
        <dxf>
          <fill>
            <patternFill patternType="solid">
              <fgColor theme="0" tint="-0.14999847407452621"/>
              <bgColor theme="0" tint="-0.14999847407452621"/>
            </patternFill>
          </fill>
        </dxf>
        <dxf>
          <fill>
            <gradientFill degree="90">
              <stop position="0">
                <color theme="0"/>
              </stop>
              <stop position="1">
                <color theme="4"/>
              </stop>
            </gradient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2">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5.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5.png"/><Relationship Id="rId2" Type="http://schemas.microsoft.com/office/2011/relationships/chartColorStyle" Target="colors8.xml"/><Relationship Id="rId1" Type="http://schemas.microsoft.com/office/2011/relationships/chartStyle" Target="style8.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5.pn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[Blinkit_Data.xlsx]Sheet4!PivotTable1</c:name>
    <c:fmtId val="0"/>
  </c:pivotSource>
  <c:chart>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Count of City</c:v>
                </c:pt>
              </c:strCache>
            </c:strRef>
          </c:tx>
          <c:spPr>
            <a:solidFill>
              <a:schemeClr val="tx2">
                <a:lumMod val="50000"/>
                <a:lumOff val="50000"/>
              </a:schemeClr>
            </a:solidFill>
            <a:ln>
              <a:noFill/>
            </a:ln>
            <a:effectLst/>
          </c:spPr>
          <c:invertIfNegative val="0"/>
          <c:cat>
            <c:strRef>
              <c:f>Sheet4!$A$4:$A$11</c:f>
              <c:strCache>
                <c:ptCount val="7"/>
                <c:pt idx="0">
                  <c:v>Bakery</c:v>
                </c:pt>
                <c:pt idx="1">
                  <c:v>Beverages</c:v>
                </c:pt>
                <c:pt idx="2">
                  <c:v>Dairy</c:v>
                </c:pt>
                <c:pt idx="3">
                  <c:v>Fruits &amp; Vegetables</c:v>
                </c:pt>
                <c:pt idx="4">
                  <c:v>Household</c:v>
                </c:pt>
                <c:pt idx="5">
                  <c:v>Personal Care</c:v>
                </c:pt>
                <c:pt idx="6">
                  <c:v>Snacks</c:v>
                </c:pt>
              </c:strCache>
            </c:strRef>
          </c:cat>
          <c:val>
            <c:numRef>
              <c:f>Sheet4!$B$4:$B$11</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0-3F02-4D41-A425-C6C99C1CA6FE}"/>
            </c:ext>
          </c:extLst>
        </c:ser>
        <c:ser>
          <c:idx val="1"/>
          <c:order val="1"/>
          <c:tx>
            <c:strRef>
              <c:f>Sheet4!$C$3</c:f>
              <c:strCache>
                <c:ptCount val="1"/>
                <c:pt idx="0">
                  <c:v>Count of Product Name</c:v>
                </c:pt>
              </c:strCache>
            </c:strRef>
          </c:tx>
          <c:spPr>
            <a:solidFill>
              <a:schemeClr val="accent1">
                <a:lumMod val="40000"/>
                <a:lumOff val="60000"/>
              </a:schemeClr>
            </a:solidFill>
            <a:ln>
              <a:noFill/>
            </a:ln>
            <a:effectLst/>
          </c:spPr>
          <c:invertIfNegative val="0"/>
          <c:cat>
            <c:strRef>
              <c:f>Sheet4!$A$4:$A$11</c:f>
              <c:strCache>
                <c:ptCount val="7"/>
                <c:pt idx="0">
                  <c:v>Bakery</c:v>
                </c:pt>
                <c:pt idx="1">
                  <c:v>Beverages</c:v>
                </c:pt>
                <c:pt idx="2">
                  <c:v>Dairy</c:v>
                </c:pt>
                <c:pt idx="3">
                  <c:v>Fruits &amp; Vegetables</c:v>
                </c:pt>
                <c:pt idx="4">
                  <c:v>Household</c:v>
                </c:pt>
                <c:pt idx="5">
                  <c:v>Personal Care</c:v>
                </c:pt>
                <c:pt idx="6">
                  <c:v>Snacks</c:v>
                </c:pt>
              </c:strCache>
            </c:strRef>
          </c:cat>
          <c:val>
            <c:numRef>
              <c:f>Sheet4!$C$4:$C$11</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2-3F02-4D41-A425-C6C99C1CA6FE}"/>
            </c:ext>
          </c:extLst>
        </c:ser>
        <c:dLbls>
          <c:showLegendKey val="0"/>
          <c:showVal val="0"/>
          <c:showCatName val="0"/>
          <c:showSerName val="0"/>
          <c:showPercent val="0"/>
          <c:showBubbleSize val="0"/>
        </c:dLbls>
        <c:gapWidth val="219"/>
        <c:overlap val="100"/>
        <c:axId val="1882752096"/>
        <c:axId val="1882775616"/>
      </c:barChart>
      <c:catAx>
        <c:axId val="1882752096"/>
        <c:scaling>
          <c:orientation val="minMax"/>
        </c:scaling>
        <c:delete val="0"/>
        <c:axPos val="b"/>
        <c:numFmt formatCode="General" sourceLinked="1"/>
        <c:majorTickMark val="none"/>
        <c:minorTickMark val="none"/>
        <c:tickLblPos val="nextTo"/>
        <c:spPr>
          <a:solidFill>
            <a:schemeClr val="tx1">
              <a:lumMod val="65000"/>
              <a:lumOff val="3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775616"/>
        <c:crosses val="autoZero"/>
        <c:auto val="1"/>
        <c:lblAlgn val="ctr"/>
        <c:lblOffset val="100"/>
        <c:noMultiLvlLbl val="0"/>
      </c:catAx>
      <c:valAx>
        <c:axId val="188277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752096"/>
        <c:crosses val="autoZero"/>
        <c:crossBetween val="between"/>
      </c:valAx>
      <c:spPr>
        <a:noFill/>
        <a:ln>
          <a:noFill/>
        </a:ln>
        <a:effectLst/>
      </c:spPr>
    </c:plotArea>
    <c:legend>
      <c:legendPos val="r"/>
      <c:overlay val="0"/>
      <c:spPr>
        <a:solidFill>
          <a:schemeClr val="tx1">
            <a:lumMod val="65000"/>
            <a:lumOff val="3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[Blinkit_Data.xlsx]Sheet4!PivotTable2</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397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3"/>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4"/>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5"/>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6"/>
        <c:spPr>
          <a:solidFill>
            <a:srgbClr val="C2EFF0"/>
          </a:solidFill>
          <a:ln w="19050">
            <a:solidFill>
              <a:schemeClr val="lt1"/>
            </a:solidFill>
          </a:ln>
          <a:effectLst>
            <a:glow rad="139700">
              <a:schemeClr val="accent4">
                <a:satMod val="175000"/>
                <a:alpha val="40000"/>
              </a:schemeClr>
            </a:glow>
          </a:effectLst>
        </c:spPr>
      </c:pivotFmt>
      <c:pivotFmt>
        <c:idx val="7"/>
        <c:spPr>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8"/>
        <c:spPr>
          <a:solidFill>
            <a:schemeClr val="accent1"/>
          </a:solidFill>
          <a:ln w="19050">
            <a:solidFill>
              <a:schemeClr val="lt1"/>
            </a:solidFill>
          </a:ln>
          <a:effectLst>
            <a:glow rad="139700">
              <a:schemeClr val="accent4">
                <a:satMod val="175000"/>
                <a:alpha val="40000"/>
              </a:schemeClr>
            </a:glow>
          </a:effectLst>
        </c:spPr>
      </c:pivotFmt>
      <c:pivotFmt>
        <c:idx val="9"/>
        <c:spPr>
          <a:solidFill>
            <a:schemeClr val="accent1"/>
          </a:solidFill>
          <a:ln w="19050">
            <a:solidFill>
              <a:schemeClr val="lt1"/>
            </a:solidFill>
          </a:ln>
          <a:effectLst>
            <a:glow rad="139700">
              <a:schemeClr val="accent4">
                <a:satMod val="175000"/>
                <a:alpha val="40000"/>
              </a:schemeClr>
            </a:glow>
          </a:effectLst>
        </c:spPr>
      </c:pivotFmt>
    </c:pivotFmts>
    <c:plotArea>
      <c:layout/>
      <c:doughnutChart>
        <c:varyColors val="1"/>
        <c:ser>
          <c:idx val="0"/>
          <c:order val="0"/>
          <c:tx>
            <c:strRef>
              <c:f>Sheet4!$B$21</c:f>
              <c:strCache>
                <c:ptCount val="1"/>
                <c:pt idx="0">
                  <c:v>Total</c:v>
                </c:pt>
              </c:strCache>
            </c:strRef>
          </c:tx>
          <c:spPr>
            <a:effectLst>
              <a:glow rad="139700">
                <a:schemeClr val="accent4">
                  <a:satMod val="175000"/>
                  <a:alpha val="40000"/>
                </a:schemeClr>
              </a:glow>
            </a:effectLst>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3-DA91-42F4-8489-596412164979}"/>
              </c:ext>
            </c:extLst>
          </c:dPt>
          <c:dPt>
            <c:idx val="1"/>
            <c:bubble3D val="0"/>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4-DA91-42F4-8489-596412164979}"/>
              </c:ext>
            </c:extLst>
          </c:dPt>
          <c:dPt>
            <c:idx val="2"/>
            <c:bubble3D val="0"/>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5-DA91-42F4-8489-596412164979}"/>
              </c:ext>
            </c:extLst>
          </c:dPt>
          <c:dPt>
            <c:idx val="3"/>
            <c:bubble3D val="0"/>
            <c:spPr>
              <a:solidFill>
                <a:schemeClr val="accent4"/>
              </a:solid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7-EC76-474E-B004-BF89DB4B78CF}"/>
              </c:ext>
            </c:extLst>
          </c:dPt>
          <c:dPt>
            <c:idx val="4"/>
            <c:bubble3D val="0"/>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6-DA91-42F4-8489-596412164979}"/>
              </c:ext>
            </c:extLst>
          </c:dPt>
          <c:dPt>
            <c:idx val="5"/>
            <c:bubble3D val="0"/>
            <c:spPr>
              <a:solidFill>
                <a:srgbClr val="C2EFF0"/>
              </a:solid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7-DA91-42F4-8489-596412164979}"/>
              </c:ext>
            </c:extLst>
          </c:dPt>
          <c:dPt>
            <c:idx val="6"/>
            <c:bubble3D val="0"/>
            <c:spPr>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extLst>
              <c:ext xmlns:c16="http://schemas.microsoft.com/office/drawing/2014/chart" uri="{C3380CC4-5D6E-409C-BE32-E72D297353CC}">
                <c16:uniqueId val="{00000008-DA91-42F4-8489-596412164979}"/>
              </c:ext>
            </c:extLst>
          </c:dPt>
          <c:cat>
            <c:strRef>
              <c:f>Sheet4!$A$22:$A$29</c:f>
              <c:strCache>
                <c:ptCount val="7"/>
                <c:pt idx="0">
                  <c:v>Bakery</c:v>
                </c:pt>
                <c:pt idx="1">
                  <c:v>Beverages</c:v>
                </c:pt>
                <c:pt idx="2">
                  <c:v>Dairy</c:v>
                </c:pt>
                <c:pt idx="3">
                  <c:v>Fruits &amp; Vegetables</c:v>
                </c:pt>
                <c:pt idx="4">
                  <c:v>Household</c:v>
                </c:pt>
                <c:pt idx="5">
                  <c:v>Personal Care</c:v>
                </c:pt>
                <c:pt idx="6">
                  <c:v>Snacks</c:v>
                </c:pt>
              </c:strCache>
            </c:strRef>
          </c:cat>
          <c:val>
            <c:numRef>
              <c:f>Sheet4!$B$22:$B$29</c:f>
              <c:numCache>
                <c:formatCode>General</c:formatCode>
                <c:ptCount val="7"/>
                <c:pt idx="0">
                  <c:v>7393.9</c:v>
                </c:pt>
                <c:pt idx="1">
                  <c:v>7339.48</c:v>
                </c:pt>
                <c:pt idx="2">
                  <c:v>7562.15</c:v>
                </c:pt>
                <c:pt idx="3">
                  <c:v>8469.9999999999982</c:v>
                </c:pt>
                <c:pt idx="4">
                  <c:v>4875.25</c:v>
                </c:pt>
                <c:pt idx="5">
                  <c:v>6286.79</c:v>
                </c:pt>
                <c:pt idx="6">
                  <c:v>8246.409999999998</c:v>
                </c:pt>
              </c:numCache>
            </c:numRef>
          </c:val>
          <c:extLst>
            <c:ext xmlns:c16="http://schemas.microsoft.com/office/drawing/2014/chart" uri="{C3380CC4-5D6E-409C-BE32-E72D297353CC}">
              <c16:uniqueId val="{00000000-DA91-42F4-8489-596412164979}"/>
            </c:ext>
          </c:extLst>
        </c:ser>
        <c:dLbls>
          <c:showLegendKey val="0"/>
          <c:showVal val="0"/>
          <c:showCatName val="0"/>
          <c:showSerName val="0"/>
          <c:showPercent val="0"/>
          <c:showBubbleSize val="0"/>
          <c:showLeaderLines val="1"/>
        </c:dLbls>
        <c:firstSliceAng val="0"/>
        <c:holeSize val="75"/>
      </c:doughnutChart>
      <c:spPr>
        <a:noFill/>
        <a:ln>
          <a:noFill/>
        </a:ln>
        <a:effectLst>
          <a:glow rad="1905000">
            <a:schemeClr val="accent4">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[Blinkit_Data.xlsx]Sheet4!PivotTable3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c:spPr>
        <c:marker>
          <c:symbol val="circle"/>
          <c:size val="5"/>
          <c:spPr>
            <a:solidFill>
              <a:srgbClr val="FF66FF"/>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c:spPr>
        <c:marker>
          <c:symbol val="circle"/>
          <c:size val="5"/>
          <c:spPr>
            <a:solidFill>
              <a:srgbClr val="FF66FF"/>
            </a:solidFill>
            <a:ln w="9525">
              <a:solidFill>
                <a:schemeClr val="bg1">
                  <a:lumMod val="95000"/>
                </a:schemeClr>
              </a:solidFill>
            </a:ln>
            <a:effectLst/>
          </c:spPr>
        </c:marker>
      </c:pivotFmt>
      <c:pivotFmt>
        <c:idx val="44"/>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Sheet4!$B$36</c:f>
              <c:strCache>
                <c:ptCount val="1"/>
                <c:pt idx="0">
                  <c:v>Count of Product Name</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lumMod val="40000"/>
                    <a:lumOff val="60000"/>
                  </a:schemeClr>
                </a:solidFill>
              </a:ln>
              <a:effectLst/>
            </c:spPr>
          </c:marker>
          <c:cat>
            <c:strRef>
              <c:f>Sheet4!$A$37:$A$44</c:f>
              <c:strCache>
                <c:ptCount val="7"/>
                <c:pt idx="0">
                  <c:v>Delhi</c:v>
                </c:pt>
                <c:pt idx="1">
                  <c:v>Gujarat</c:v>
                </c:pt>
                <c:pt idx="2">
                  <c:v>Karnataka</c:v>
                </c:pt>
                <c:pt idx="3">
                  <c:v>Maharashtra</c:v>
                </c:pt>
                <c:pt idx="4">
                  <c:v>Tamil Nadu</c:v>
                </c:pt>
                <c:pt idx="5">
                  <c:v>Telangana</c:v>
                </c:pt>
                <c:pt idx="6">
                  <c:v>West Bengal</c:v>
                </c:pt>
              </c:strCache>
            </c:strRef>
          </c:cat>
          <c:val>
            <c:numRef>
              <c:f>Sheet4!$B$37:$B$44</c:f>
              <c:numCache>
                <c:formatCode>General</c:formatCode>
                <c:ptCount val="7"/>
                <c:pt idx="0">
                  <c:v>21</c:v>
                </c:pt>
                <c:pt idx="1">
                  <c:v>26</c:v>
                </c:pt>
                <c:pt idx="2">
                  <c:v>23</c:v>
                </c:pt>
                <c:pt idx="3">
                  <c:v>44</c:v>
                </c:pt>
                <c:pt idx="4">
                  <c:v>25</c:v>
                </c:pt>
                <c:pt idx="5">
                  <c:v>33</c:v>
                </c:pt>
                <c:pt idx="6">
                  <c:v>28</c:v>
                </c:pt>
              </c:numCache>
            </c:numRef>
          </c:val>
          <c:smooth val="0"/>
          <c:extLst>
            <c:ext xmlns:c16="http://schemas.microsoft.com/office/drawing/2014/chart" uri="{C3380CC4-5D6E-409C-BE32-E72D297353CC}">
              <c16:uniqueId val="{0000002A-152B-4393-8037-D59639158298}"/>
            </c:ext>
          </c:extLst>
        </c:ser>
        <c:ser>
          <c:idx val="1"/>
          <c:order val="1"/>
          <c:tx>
            <c:strRef>
              <c:f>Sheet4!$C$36</c:f>
              <c:strCache>
                <c:ptCount val="1"/>
                <c:pt idx="0">
                  <c:v>Count of City</c:v>
                </c:pt>
              </c:strCache>
            </c:strRef>
          </c:tx>
          <c:spPr>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c:spPr>
          <c:marker>
            <c:symbol val="circle"/>
            <c:size val="5"/>
            <c:spPr>
              <a:solidFill>
                <a:srgbClr val="FF66FF"/>
              </a:solidFill>
              <a:ln w="9525">
                <a:solidFill>
                  <a:schemeClr val="bg1">
                    <a:lumMod val="95000"/>
                  </a:schemeClr>
                </a:solidFill>
              </a:ln>
              <a:effectLst/>
            </c:spPr>
          </c:marker>
          <c:cat>
            <c:strRef>
              <c:f>Sheet4!$A$37:$A$44</c:f>
              <c:strCache>
                <c:ptCount val="7"/>
                <c:pt idx="0">
                  <c:v>Delhi</c:v>
                </c:pt>
                <c:pt idx="1">
                  <c:v>Gujarat</c:v>
                </c:pt>
                <c:pt idx="2">
                  <c:v>Karnataka</c:v>
                </c:pt>
                <c:pt idx="3">
                  <c:v>Maharashtra</c:v>
                </c:pt>
                <c:pt idx="4">
                  <c:v>Tamil Nadu</c:v>
                </c:pt>
                <c:pt idx="5">
                  <c:v>Telangana</c:v>
                </c:pt>
                <c:pt idx="6">
                  <c:v>West Bengal</c:v>
                </c:pt>
              </c:strCache>
            </c:strRef>
          </c:cat>
          <c:val>
            <c:numRef>
              <c:f>Sheet4!$C$37:$C$44</c:f>
              <c:numCache>
                <c:formatCode>General</c:formatCode>
                <c:ptCount val="7"/>
                <c:pt idx="0">
                  <c:v>21</c:v>
                </c:pt>
                <c:pt idx="1">
                  <c:v>26</c:v>
                </c:pt>
                <c:pt idx="2">
                  <c:v>23</c:v>
                </c:pt>
                <c:pt idx="3">
                  <c:v>44</c:v>
                </c:pt>
                <c:pt idx="4">
                  <c:v>25</c:v>
                </c:pt>
                <c:pt idx="5">
                  <c:v>33</c:v>
                </c:pt>
                <c:pt idx="6">
                  <c:v>28</c:v>
                </c:pt>
              </c:numCache>
            </c:numRef>
          </c:val>
          <c:smooth val="0"/>
          <c:extLst>
            <c:ext xmlns:c16="http://schemas.microsoft.com/office/drawing/2014/chart" uri="{C3380CC4-5D6E-409C-BE32-E72D297353CC}">
              <c16:uniqueId val="{0000002C-152B-4393-8037-D59639158298}"/>
            </c:ext>
          </c:extLst>
        </c:ser>
        <c:dLbls>
          <c:showLegendKey val="0"/>
          <c:showVal val="0"/>
          <c:showCatName val="0"/>
          <c:showSerName val="0"/>
          <c:showPercent val="0"/>
          <c:showBubbleSize val="0"/>
        </c:dLbls>
        <c:marker val="1"/>
        <c:smooth val="0"/>
        <c:axId val="1882806336"/>
        <c:axId val="1882800096"/>
      </c:lineChart>
      <c:catAx>
        <c:axId val="188280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800096"/>
        <c:crosses val="autoZero"/>
        <c:auto val="1"/>
        <c:lblAlgn val="ctr"/>
        <c:lblOffset val="100"/>
        <c:noMultiLvlLbl val="0"/>
      </c:catAx>
      <c:valAx>
        <c:axId val="18828000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80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[Blinkit_Data.xlsx]Sheet5!PivotTable4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63500">
              <a:schemeClr val="accent4">
                <a:satMod val="175000"/>
                <a:alpha val="93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63500">
              <a:schemeClr val="accent4">
                <a:satMod val="175000"/>
                <a:alpha val="93000"/>
              </a:schemeClr>
            </a:glow>
          </a:effectLst>
        </c:spPr>
      </c:pivotFmt>
    </c:pivotFmts>
    <c:plotArea>
      <c:layout/>
      <c:barChart>
        <c:barDir val="bar"/>
        <c:grouping val="clustered"/>
        <c:varyColors val="0"/>
        <c:ser>
          <c:idx val="0"/>
          <c:order val="0"/>
          <c:tx>
            <c:strRef>
              <c:f>Sheet5!$B$3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63500">
                <a:schemeClr val="accent4">
                  <a:satMod val="175000"/>
                  <a:alpha val="93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Sheet5!$A$4:$A$9</c:f>
              <c:strCache>
                <c:ptCount val="5"/>
                <c:pt idx="0">
                  <c:v>Cash on Delivery</c:v>
                </c:pt>
                <c:pt idx="1">
                  <c:v>Credit Card</c:v>
                </c:pt>
                <c:pt idx="2">
                  <c:v>Debit Card</c:v>
                </c:pt>
                <c:pt idx="3">
                  <c:v>UPI</c:v>
                </c:pt>
                <c:pt idx="4">
                  <c:v>Wallet</c:v>
                </c:pt>
              </c:strCache>
            </c:strRef>
          </c:cat>
          <c:val>
            <c:numRef>
              <c:f>Sheet5!$B$4:$B$9</c:f>
              <c:numCache>
                <c:formatCode>General</c:formatCode>
                <c:ptCount val="5"/>
                <c:pt idx="0">
                  <c:v>17044.7</c:v>
                </c:pt>
                <c:pt idx="1">
                  <c:v>20842.570000000003</c:v>
                </c:pt>
                <c:pt idx="2">
                  <c:v>18959.689999999999</c:v>
                </c:pt>
                <c:pt idx="3">
                  <c:v>14344.82</c:v>
                </c:pt>
                <c:pt idx="4">
                  <c:v>17816.16</c:v>
                </c:pt>
              </c:numCache>
            </c:numRef>
          </c:val>
          <c:extLst>
            <c:ext xmlns:c16="http://schemas.microsoft.com/office/drawing/2014/chart" uri="{C3380CC4-5D6E-409C-BE32-E72D297353CC}">
              <c16:uniqueId val="{00000008-D0DD-4DAF-95C9-325E9FFC8C17}"/>
            </c:ext>
          </c:extLst>
        </c:ser>
        <c:dLbls>
          <c:dLblPos val="outEnd"/>
          <c:showLegendKey val="0"/>
          <c:showVal val="1"/>
          <c:showCatName val="0"/>
          <c:showSerName val="0"/>
          <c:showPercent val="0"/>
          <c:showBubbleSize val="0"/>
        </c:dLbls>
        <c:gapWidth val="326"/>
        <c:overlap val="-58"/>
        <c:axId val="110392432"/>
        <c:axId val="110374672"/>
      </c:barChart>
      <c:valAx>
        <c:axId val="11037467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392432"/>
        <c:crosses val="autoZero"/>
        <c:crossBetween val="between"/>
      </c:valAx>
      <c:catAx>
        <c:axId val="1103924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374672"/>
        <c:crosses val="autoZero"/>
        <c:auto val="1"/>
        <c:lblAlgn val="ctr"/>
        <c:lblOffset val="100"/>
        <c:noMultiLvlLbl val="0"/>
      </c:catAx>
      <c:spPr>
        <a:noFill/>
        <a:ln>
          <a:noFill/>
        </a:ln>
        <a:effectLst>
          <a:glow rad="228600">
            <a:schemeClr val="accent4">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b="1" i="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[Blinkit_Data.xlsx]Sheet5!PivotTable5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extLst>
                <a:ext uri="{28A0092B-C50C-407E-A947-70E740481C1C}">
                  <a14:useLocalDpi xmlns:a14="http://schemas.microsoft.com/office/drawing/2010/main" val="0"/>
                </a:ext>
              </a:extLst>
            </a:blip>
            <a:stretch>
              <a:fillRect/>
            </a:stretch>
          </a:blipFill>
          <a:ln>
            <a:solidFill>
              <a:schemeClr val="accent5">
                <a:lumMod val="20000"/>
                <a:lumOff val="80000"/>
              </a:schemeClr>
            </a:solidFill>
          </a:ln>
          <a:effectLst>
            <a:outerShdw blurRad="50800" dist="38100" dir="17400000" rotWithShape="0">
              <a:srgbClr val="FF66FF">
                <a:alpha val="40000"/>
              </a:srgbClr>
            </a:outerShdw>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Sheet5!$B$22</c:f>
              <c:strCache>
                <c:ptCount val="1"/>
                <c:pt idx="0">
                  <c:v>Count of Product Name</c:v>
                </c:pt>
              </c:strCache>
            </c:strRef>
          </c:tx>
          <c:spPr>
            <a:solidFill>
              <a:schemeClr val="accent1"/>
            </a:solidFill>
            <a:ln>
              <a:noFill/>
            </a:ln>
            <a:effectLst/>
            <a:sp3d/>
          </c:spPr>
          <c:invertIfNegative val="0"/>
          <c:cat>
            <c:strRef>
              <c:f>Sheet5!$A$23:$A$30</c:f>
              <c:strCache>
                <c:ptCount val="7"/>
                <c:pt idx="0">
                  <c:v>Bakery</c:v>
                </c:pt>
                <c:pt idx="1">
                  <c:v>Beverages</c:v>
                </c:pt>
                <c:pt idx="2">
                  <c:v>Dairy</c:v>
                </c:pt>
                <c:pt idx="3">
                  <c:v>Fruits &amp; Vegetables</c:v>
                </c:pt>
                <c:pt idx="4">
                  <c:v>Household</c:v>
                </c:pt>
                <c:pt idx="5">
                  <c:v>Personal Care</c:v>
                </c:pt>
                <c:pt idx="6">
                  <c:v>Snacks</c:v>
                </c:pt>
              </c:strCache>
            </c:strRef>
          </c:cat>
          <c:val>
            <c:numRef>
              <c:f>Sheet5!$B$23:$B$30</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0-727A-4F71-9C1B-D4C792A0CDD7}"/>
            </c:ext>
          </c:extLst>
        </c:ser>
        <c:ser>
          <c:idx val="1"/>
          <c:order val="1"/>
          <c:tx>
            <c:strRef>
              <c:f>Sheet5!$C$22</c:f>
              <c:strCache>
                <c:ptCount val="1"/>
                <c:pt idx="0">
                  <c:v>Sum of Cost Price</c:v>
                </c:pt>
              </c:strCache>
            </c:strRef>
          </c:tx>
          <c:spPr>
            <a:blipFill>
              <a:blip xmlns:r="http://schemas.openxmlformats.org/officeDocument/2006/relationships" r:embed="rId3">
                <a:extLst>
                  <a:ext uri="{28A0092B-C50C-407E-A947-70E740481C1C}">
                    <a14:useLocalDpi xmlns:a14="http://schemas.microsoft.com/office/drawing/2010/main" val="0"/>
                  </a:ext>
                </a:extLst>
              </a:blip>
              <a:stretch>
                <a:fillRect/>
              </a:stretch>
            </a:blipFill>
            <a:ln>
              <a:solidFill>
                <a:schemeClr val="accent5">
                  <a:lumMod val="20000"/>
                  <a:lumOff val="80000"/>
                </a:schemeClr>
              </a:solidFill>
            </a:ln>
            <a:effectLst>
              <a:outerShdw blurRad="50800" dist="38100" dir="17400000" rotWithShape="0">
                <a:srgbClr val="FF66FF">
                  <a:alpha val="40000"/>
                </a:srgbClr>
              </a:outerShdw>
            </a:effectLst>
            <a:sp3d>
              <a:contourClr>
                <a:schemeClr val="accent5">
                  <a:lumMod val="20000"/>
                  <a:lumOff val="80000"/>
                </a:schemeClr>
              </a:contourClr>
            </a:sp3d>
          </c:spPr>
          <c:invertIfNegative val="0"/>
          <c:cat>
            <c:strRef>
              <c:f>Sheet5!$A$23:$A$30</c:f>
              <c:strCache>
                <c:ptCount val="7"/>
                <c:pt idx="0">
                  <c:v>Bakery</c:v>
                </c:pt>
                <c:pt idx="1">
                  <c:v>Beverages</c:v>
                </c:pt>
                <c:pt idx="2">
                  <c:v>Dairy</c:v>
                </c:pt>
                <c:pt idx="3">
                  <c:v>Fruits &amp; Vegetables</c:v>
                </c:pt>
                <c:pt idx="4">
                  <c:v>Household</c:v>
                </c:pt>
                <c:pt idx="5">
                  <c:v>Personal Care</c:v>
                </c:pt>
                <c:pt idx="6">
                  <c:v>Snacks</c:v>
                </c:pt>
              </c:strCache>
            </c:strRef>
          </c:cat>
          <c:val>
            <c:numRef>
              <c:f>Sheet5!$C$23:$C$30</c:f>
              <c:numCache>
                <c:formatCode>General</c:formatCode>
                <c:ptCount val="7"/>
                <c:pt idx="0">
                  <c:v>7393.9</c:v>
                </c:pt>
                <c:pt idx="1">
                  <c:v>7339.48</c:v>
                </c:pt>
                <c:pt idx="2">
                  <c:v>7562.15</c:v>
                </c:pt>
                <c:pt idx="3">
                  <c:v>8469.9999999999982</c:v>
                </c:pt>
                <c:pt idx="4">
                  <c:v>4875.25</c:v>
                </c:pt>
                <c:pt idx="5">
                  <c:v>6286.79</c:v>
                </c:pt>
                <c:pt idx="6">
                  <c:v>8246.409999999998</c:v>
                </c:pt>
              </c:numCache>
            </c:numRef>
          </c:val>
          <c:extLst>
            <c:ext xmlns:c16="http://schemas.microsoft.com/office/drawing/2014/chart" uri="{C3380CC4-5D6E-409C-BE32-E72D297353CC}">
              <c16:uniqueId val="{00000001-727A-4F71-9C1B-D4C792A0CDD7}"/>
            </c:ext>
          </c:extLst>
        </c:ser>
        <c:dLbls>
          <c:showLegendKey val="0"/>
          <c:showVal val="0"/>
          <c:showCatName val="0"/>
          <c:showSerName val="0"/>
          <c:showPercent val="0"/>
          <c:showBubbleSize val="0"/>
        </c:dLbls>
        <c:gapWidth val="219"/>
        <c:shape val="box"/>
        <c:axId val="1236755360"/>
        <c:axId val="1236756800"/>
        <c:axId val="0"/>
      </c:bar3DChart>
      <c:catAx>
        <c:axId val="1236755360"/>
        <c:scaling>
          <c:orientation val="minMax"/>
        </c:scaling>
        <c:delete val="0"/>
        <c:axPos val="b"/>
        <c:numFmt formatCode="General" sourceLinked="1"/>
        <c:majorTickMark val="out"/>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756800"/>
        <c:crosses val="autoZero"/>
        <c:auto val="1"/>
        <c:lblAlgn val="ctr"/>
        <c:lblOffset val="100"/>
        <c:noMultiLvlLbl val="0"/>
      </c:catAx>
      <c:valAx>
        <c:axId val="1236756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755360"/>
        <c:crosses val="autoZero"/>
        <c:crossBetween val="between"/>
      </c:valAx>
      <c:spPr>
        <a:solidFill>
          <a:schemeClr val="tx1">
            <a:lumMod val="85000"/>
            <a:lumOff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[Blinkit_Data.xlsx]Sheet5!PivotTable11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BDEEF5"/>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layout>
            <c:manualLayout>
              <c:x val="-0.14583344269466322"/>
              <c:y val="2.0833515602216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6F8F6E-1E21-4F8F-A968-BDBA88ACD808}" type="PERCENTAGE">
                  <a:rPr lang="en-US" sz="1500" baseline="0">
                    <a:solidFill>
                      <a:schemeClr val="bg1"/>
                    </a:solidFill>
                  </a:rPr>
                  <a:pPr>
                    <a:defRPr/>
                  </a:pPr>
                  <a:t>[PERCENTAGE]</a:t>
                </a:fld>
                <a:endParaRPr lang="en-US"/>
              </a:p>
            </c:rich>
          </c:tx>
          <c:spPr>
            <a:solidFill>
              <a:schemeClr val="tx1">
                <a:lumMod val="85000"/>
                <a:lumOff val="1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1377952755903"/>
                  <c:h val="0.15270851560221638"/>
                </c:manualLayout>
              </c15:layout>
              <c15:dlblFieldTable/>
              <c15:showDataLabelsRange val="0"/>
            </c:ext>
          </c:extLst>
        </c:dLbl>
      </c:pivotFmt>
      <c:pivotFmt>
        <c:idx val="2"/>
        <c:spPr>
          <a:solidFill>
            <a:srgbClr val="F5BCF6"/>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Sheet5!$B$38</c:f>
              <c:strCache>
                <c:ptCount val="1"/>
                <c:pt idx="0">
                  <c:v>Total</c:v>
                </c:pt>
              </c:strCache>
            </c:strRef>
          </c:tx>
          <c:spPr>
            <a:effectLst>
              <a:glow rad="304800">
                <a:schemeClr val="accent4">
                  <a:satMod val="175000"/>
                  <a:alpha val="40000"/>
                </a:schemeClr>
              </a:glow>
              <a:outerShdw blurRad="63500" sx="98000" sy="98000" algn="ctr" rotWithShape="0">
                <a:schemeClr val="accent4">
                  <a:lumMod val="60000"/>
                  <a:lumOff val="40000"/>
                  <a:alpha val="40000"/>
                </a:schemeClr>
              </a:outerShdw>
            </a:effectLst>
          </c:spPr>
          <c:dPt>
            <c:idx val="0"/>
            <c:bubble3D val="0"/>
            <c:spPr>
              <a:solidFill>
                <a:srgbClr val="BDEEF5"/>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extLst>
              <c:ext xmlns:c16="http://schemas.microsoft.com/office/drawing/2014/chart" uri="{C3380CC4-5D6E-409C-BE32-E72D297353CC}">
                <c16:uniqueId val="{00000002-D34E-4553-9A1D-E44354179EFE}"/>
              </c:ext>
            </c:extLst>
          </c:dPt>
          <c:dPt>
            <c:idx val="1"/>
            <c:bubble3D val="0"/>
            <c:spPr>
              <a:solidFill>
                <a:srgbClr val="F5BCF6"/>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extLst>
              <c:ext xmlns:c16="http://schemas.microsoft.com/office/drawing/2014/chart" uri="{C3380CC4-5D6E-409C-BE32-E72D297353CC}">
                <c16:uniqueId val="{00000003-D34E-4553-9A1D-E44354179EFE}"/>
              </c:ext>
            </c:extLst>
          </c:dPt>
          <c:dLbls>
            <c:dLbl>
              <c:idx val="0"/>
              <c:layout>
                <c:manualLayout>
                  <c:x val="-0.14583344269466322"/>
                  <c:y val="2.0833515602216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6F8F6E-1E21-4F8F-A968-BDBA88ACD808}" type="PERCENTAGE">
                      <a:rPr lang="en-US" sz="1500" baseline="0">
                        <a:solidFill>
                          <a:schemeClr val="bg1"/>
                        </a:solidFill>
                      </a:rPr>
                      <a:pPr>
                        <a:defRPr/>
                      </a:pPr>
                      <a:t>[PERCENTAGE]</a:t>
                    </a:fld>
                    <a:endParaRPr lang="en-US"/>
                  </a:p>
                </c:rich>
              </c:tx>
              <c:spPr>
                <a:solidFill>
                  <a:schemeClr val="tx1">
                    <a:lumMod val="85000"/>
                    <a:lumOff val="1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1377952755903"/>
                      <c:h val="0.15270851560221638"/>
                    </c:manualLayout>
                  </c15:layout>
                  <c15:dlblFieldTable/>
                  <c15:showDataLabelsRange val="0"/>
                </c:ext>
                <c:ext xmlns:c16="http://schemas.microsoft.com/office/drawing/2014/chart" uri="{C3380CC4-5D6E-409C-BE32-E72D297353CC}">
                  <c16:uniqueId val="{00000002-D34E-4553-9A1D-E44354179EFE}"/>
                </c:ext>
              </c:extLst>
            </c:dLbl>
            <c:dLbl>
              <c:idx val="1"/>
              <c:delete val="1"/>
              <c:extLst>
                <c:ext xmlns:c15="http://schemas.microsoft.com/office/drawing/2012/chart" uri="{CE6537A1-D6FC-4f65-9D91-7224C49458BB}"/>
                <c:ext xmlns:c16="http://schemas.microsoft.com/office/drawing/2014/chart" uri="{C3380CC4-5D6E-409C-BE32-E72D297353CC}">
                  <c16:uniqueId val="{00000003-D34E-4553-9A1D-E44354179EFE}"/>
                </c:ext>
              </c:extLst>
            </c:dLbl>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Sheet5!$A$39:$A$41</c:f>
              <c:strCache>
                <c:ptCount val="2"/>
                <c:pt idx="0">
                  <c:v>Beverages</c:v>
                </c:pt>
                <c:pt idx="1">
                  <c:v>Dairy</c:v>
                </c:pt>
              </c:strCache>
            </c:strRef>
          </c:cat>
          <c:val>
            <c:numRef>
              <c:f>Sheet5!$B$39:$B$41</c:f>
              <c:numCache>
                <c:formatCode>General</c:formatCode>
                <c:ptCount val="2"/>
                <c:pt idx="0">
                  <c:v>159</c:v>
                </c:pt>
                <c:pt idx="1">
                  <c:v>184</c:v>
                </c:pt>
              </c:numCache>
            </c:numRef>
          </c:val>
          <c:extLst>
            <c:ext xmlns:c16="http://schemas.microsoft.com/office/drawing/2014/chart" uri="{C3380CC4-5D6E-409C-BE32-E72D297353CC}">
              <c16:uniqueId val="{00000000-D34E-4553-9A1D-E44354179EFE}"/>
            </c:ext>
          </c:extLst>
        </c:ser>
        <c:dLbls>
          <c:showLegendKey val="0"/>
          <c:showVal val="0"/>
          <c:showCatName val="0"/>
          <c:showSerName val="0"/>
          <c:showPercent val="1"/>
          <c:showBubbleSize val="0"/>
          <c:showLeaderLines val="1"/>
        </c:dLbls>
        <c:firstSliceAng val="0"/>
        <c:holeSize val="75"/>
      </c:doughnutChart>
      <c:spPr>
        <a:solidFill>
          <a:schemeClr val="tx1">
            <a:lumMod val="85000"/>
            <a:lumOff val="1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[Blinkit_Data.xlsx]Sheet4!PivotTable1</c:name>
    <c:fmtId val="8"/>
  </c:pivotSource>
  <c:chart>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tx2">
                  <a:lumMod val="50000"/>
                  <a:lumOff val="50000"/>
                  <a:tint val="66000"/>
                  <a:satMod val="160000"/>
                </a:schemeClr>
              </a:gs>
              <a:gs pos="50000">
                <a:schemeClr val="tx2">
                  <a:lumMod val="50000"/>
                  <a:lumOff val="50000"/>
                  <a:tint val="44500"/>
                  <a:satMod val="160000"/>
                </a:schemeClr>
              </a:gs>
              <a:gs pos="100000">
                <a:schemeClr val="tx2">
                  <a:lumMod val="50000"/>
                  <a:lumOff val="50000"/>
                  <a:tint val="23500"/>
                  <a:satMod val="160000"/>
                </a:schemeClr>
              </a:gs>
            </a:gsLst>
            <a:lin ang="0" scaled="1"/>
            <a:tileRect/>
          </a:gradFill>
          <a:ln>
            <a:noFill/>
          </a:ln>
          <a:effectLst>
            <a:glow rad="241300">
              <a:schemeClr val="accent5">
                <a:satMod val="175000"/>
                <a:alpha val="9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lin ang="2700000" scaled="1"/>
            <a:tileRect/>
          </a:gradFill>
          <a:ln>
            <a:noFill/>
          </a:ln>
          <a:effectLst>
            <a:glow rad="6223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Count of City</c:v>
                </c:pt>
              </c:strCache>
            </c:strRef>
          </c:tx>
          <c:spPr>
            <a:gradFill flip="none" rotWithShape="1">
              <a:gsLst>
                <a:gs pos="0">
                  <a:schemeClr val="tx2">
                    <a:lumMod val="50000"/>
                    <a:lumOff val="50000"/>
                    <a:tint val="66000"/>
                    <a:satMod val="160000"/>
                  </a:schemeClr>
                </a:gs>
                <a:gs pos="50000">
                  <a:schemeClr val="tx2">
                    <a:lumMod val="50000"/>
                    <a:lumOff val="50000"/>
                    <a:tint val="44500"/>
                    <a:satMod val="160000"/>
                  </a:schemeClr>
                </a:gs>
                <a:gs pos="100000">
                  <a:schemeClr val="tx2">
                    <a:lumMod val="50000"/>
                    <a:lumOff val="50000"/>
                    <a:tint val="23500"/>
                    <a:satMod val="160000"/>
                  </a:schemeClr>
                </a:gs>
              </a:gsLst>
              <a:lin ang="0" scaled="1"/>
              <a:tileRect/>
            </a:gradFill>
            <a:ln>
              <a:noFill/>
            </a:ln>
            <a:effectLst>
              <a:glow rad="241300">
                <a:schemeClr val="accent5">
                  <a:satMod val="175000"/>
                  <a:alpha val="94000"/>
                </a:schemeClr>
              </a:glow>
            </a:effectLst>
          </c:spPr>
          <c:invertIfNegative val="0"/>
          <c:cat>
            <c:strRef>
              <c:f>Sheet4!$A$4:$A$11</c:f>
              <c:strCache>
                <c:ptCount val="7"/>
                <c:pt idx="0">
                  <c:v>Bakery</c:v>
                </c:pt>
                <c:pt idx="1">
                  <c:v>Beverages</c:v>
                </c:pt>
                <c:pt idx="2">
                  <c:v>Dairy</c:v>
                </c:pt>
                <c:pt idx="3">
                  <c:v>Fruits &amp; Vegetables</c:v>
                </c:pt>
                <c:pt idx="4">
                  <c:v>Household</c:v>
                </c:pt>
                <c:pt idx="5">
                  <c:v>Personal Care</c:v>
                </c:pt>
                <c:pt idx="6">
                  <c:v>Snacks</c:v>
                </c:pt>
              </c:strCache>
            </c:strRef>
          </c:cat>
          <c:val>
            <c:numRef>
              <c:f>Sheet4!$B$4:$B$11</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0-3129-4413-942E-9242CCCC1270}"/>
            </c:ext>
          </c:extLst>
        </c:ser>
        <c:ser>
          <c:idx val="1"/>
          <c:order val="1"/>
          <c:tx>
            <c:strRef>
              <c:f>Sheet4!$C$3</c:f>
              <c:strCache>
                <c:ptCount val="1"/>
                <c:pt idx="0">
                  <c:v>Count of Product Name</c:v>
                </c:pt>
              </c:strCache>
            </c:strRef>
          </c:tx>
          <c:spPr>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lin ang="2700000" scaled="1"/>
              <a:tileRect/>
            </a:gradFill>
            <a:ln>
              <a:noFill/>
            </a:ln>
            <a:effectLst>
              <a:glow rad="622300">
                <a:schemeClr val="accent4">
                  <a:satMod val="175000"/>
                  <a:alpha val="40000"/>
                </a:schemeClr>
              </a:glow>
            </a:effectLst>
          </c:spPr>
          <c:invertIfNegative val="0"/>
          <c:cat>
            <c:strRef>
              <c:f>Sheet4!$A$4:$A$11</c:f>
              <c:strCache>
                <c:ptCount val="7"/>
                <c:pt idx="0">
                  <c:v>Bakery</c:v>
                </c:pt>
                <c:pt idx="1">
                  <c:v>Beverages</c:v>
                </c:pt>
                <c:pt idx="2">
                  <c:v>Dairy</c:v>
                </c:pt>
                <c:pt idx="3">
                  <c:v>Fruits &amp; Vegetables</c:v>
                </c:pt>
                <c:pt idx="4">
                  <c:v>Household</c:v>
                </c:pt>
                <c:pt idx="5">
                  <c:v>Personal Care</c:v>
                </c:pt>
                <c:pt idx="6">
                  <c:v>Snacks</c:v>
                </c:pt>
              </c:strCache>
            </c:strRef>
          </c:cat>
          <c:val>
            <c:numRef>
              <c:f>Sheet4!$C$4:$C$11</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1-3129-4413-942E-9242CCCC1270}"/>
            </c:ext>
          </c:extLst>
        </c:ser>
        <c:dLbls>
          <c:showLegendKey val="0"/>
          <c:showVal val="0"/>
          <c:showCatName val="0"/>
          <c:showSerName val="0"/>
          <c:showPercent val="0"/>
          <c:showBubbleSize val="0"/>
        </c:dLbls>
        <c:gapWidth val="219"/>
        <c:overlap val="100"/>
        <c:axId val="1882752096"/>
        <c:axId val="1882775616"/>
      </c:barChart>
      <c:catAx>
        <c:axId val="1882752096"/>
        <c:scaling>
          <c:orientation val="minMax"/>
        </c:scaling>
        <c:delete val="0"/>
        <c:axPos val="b"/>
        <c:numFmt formatCode="General" sourceLinked="1"/>
        <c:majorTickMark val="none"/>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775616"/>
        <c:crosses val="autoZero"/>
        <c:auto val="1"/>
        <c:lblAlgn val="ctr"/>
        <c:lblOffset val="100"/>
        <c:noMultiLvlLbl val="0"/>
      </c:catAx>
      <c:valAx>
        <c:axId val="1882775616"/>
        <c:scaling>
          <c:orientation val="minMax"/>
        </c:scaling>
        <c:delete val="0"/>
        <c:axPos val="l"/>
        <c:numFmt formatCode="General" sourceLinked="1"/>
        <c:majorTickMark val="none"/>
        <c:minorTickMark val="none"/>
        <c:tickLblPos val="nextTo"/>
        <c:spPr>
          <a:solidFill>
            <a:schemeClr val="tx1">
              <a:lumMod val="75000"/>
              <a:lumOff val="2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752096"/>
        <c:crosses val="autoZero"/>
        <c:crossBetween val="between"/>
      </c:valAx>
      <c:spPr>
        <a:noFill/>
        <a:ln>
          <a:noFill/>
        </a:ln>
        <a:effectLst/>
      </c:spPr>
    </c:plotArea>
    <c:legend>
      <c:legendPos val="r"/>
      <c:layout>
        <c:manualLayout>
          <c:xMode val="edge"/>
          <c:yMode val="edge"/>
          <c:x val="0.67973088591198827"/>
          <c:y val="1.9591769778777652E-2"/>
          <c:w val="0.2949580637674758"/>
          <c:h val="0.11668570316791795"/>
        </c:manualLayout>
      </c:layout>
      <c:overlay val="0"/>
      <c:spPr>
        <a:solidFill>
          <a:schemeClr val="tx1">
            <a:lumMod val="85000"/>
            <a:lumOff val="15000"/>
          </a:schemeClr>
        </a:solidFill>
        <a:ln>
          <a:solidFill>
            <a:schemeClr val="tx1"/>
          </a:solid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rgbClr val="F5BCF6"/>
      </a:solidFill>
      <a:round/>
    </a:ln>
    <a:effectLst>
      <a:glow rad="685800">
        <a:schemeClr val="accent5">
          <a:satMod val="175000"/>
          <a:alpha val="40000"/>
        </a:schemeClr>
      </a:glow>
      <a:softEdge rad="127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[Blinkit_Data.xlsx]Sheet4!PivotTable2</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39700">
              <a:schemeClr val="accent4">
                <a:satMod val="175000"/>
                <a:alpha val="40000"/>
              </a:schemeClr>
            </a:glow>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3"/>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4"/>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5"/>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6"/>
        <c:spPr>
          <a:solidFill>
            <a:srgbClr val="C2EFF0"/>
          </a:solidFill>
          <a:ln w="19050">
            <a:solidFill>
              <a:schemeClr val="lt1"/>
            </a:solidFill>
          </a:ln>
          <a:effectLst>
            <a:glow rad="139700">
              <a:schemeClr val="accent4">
                <a:satMod val="175000"/>
                <a:alpha val="40000"/>
              </a:schemeClr>
            </a:glow>
          </a:effectLst>
        </c:spPr>
      </c:pivotFmt>
      <c:pivotFmt>
        <c:idx val="7"/>
        <c:spPr>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8"/>
        <c:spPr>
          <a:solidFill>
            <a:schemeClr val="accent1"/>
          </a:solidFill>
          <a:ln w="19050">
            <a:solidFill>
              <a:schemeClr val="lt1"/>
            </a:solidFill>
          </a:ln>
          <a:effectLst>
            <a:glow rad="1397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10"/>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11"/>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12"/>
        <c:spPr>
          <a:solidFill>
            <a:schemeClr val="accent1"/>
          </a:solidFill>
          <a:ln w="19050">
            <a:solidFill>
              <a:schemeClr val="lt1"/>
            </a:solidFill>
          </a:ln>
          <a:effectLst>
            <a:glow rad="139700">
              <a:schemeClr val="accent4">
                <a:satMod val="175000"/>
                <a:alpha val="40000"/>
              </a:schemeClr>
            </a:glow>
          </a:effectLst>
        </c:spPr>
      </c:pivotFmt>
      <c:pivotFmt>
        <c:idx val="13"/>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14"/>
        <c:spPr>
          <a:solidFill>
            <a:srgbClr val="C2EFF0"/>
          </a:solidFill>
          <a:ln w="19050">
            <a:solidFill>
              <a:schemeClr val="lt1"/>
            </a:solidFill>
          </a:ln>
          <a:effectLst>
            <a:glow rad="139700">
              <a:schemeClr val="accent4">
                <a:satMod val="175000"/>
                <a:alpha val="40000"/>
              </a:schemeClr>
            </a:glow>
          </a:effectLst>
        </c:spPr>
      </c:pivotFmt>
      <c:pivotFmt>
        <c:idx val="15"/>
        <c:spPr>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w="19050">
            <a:solidFill>
              <a:schemeClr val="lt1"/>
            </a:solidFill>
          </a:ln>
          <a:effectLst>
            <a:glow rad="139700">
              <a:schemeClr val="accent4">
                <a:satMod val="175000"/>
                <a:alpha val="40000"/>
              </a:schemeClr>
            </a:glow>
          </a:effectLst>
        </c:spPr>
      </c:pivotFmt>
      <c:pivotFmt>
        <c:idx val="16"/>
        <c:spPr>
          <a:solidFill>
            <a:schemeClr val="accent1"/>
          </a:solidFill>
          <a:ln w="19050">
            <a:solidFill>
              <a:schemeClr val="lt1"/>
            </a:solidFill>
          </a:ln>
          <a:effectLst>
            <a:glow rad="5461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pivotFmt>
      <c:pivotFmt>
        <c:idx val="18"/>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pivotFmt>
      <c:pivotFmt>
        <c:idx val="19"/>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pivotFmt>
      <c:pivotFmt>
        <c:idx val="20"/>
        <c:spPr>
          <a:solidFill>
            <a:schemeClr val="accent1"/>
          </a:solidFill>
          <a:ln w="19050">
            <a:solidFill>
              <a:schemeClr val="lt1"/>
            </a:solidFill>
          </a:ln>
          <a:effectLst>
            <a:glow rad="546100">
              <a:schemeClr val="accent4">
                <a:satMod val="175000"/>
                <a:alpha val="40000"/>
              </a:schemeClr>
            </a:glow>
          </a:effectLst>
        </c:spPr>
      </c:pivotFmt>
      <c:pivotFmt>
        <c:idx val="21"/>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pivotFmt>
      <c:pivotFmt>
        <c:idx val="22"/>
        <c:spPr>
          <a:solidFill>
            <a:srgbClr val="C2EFF0"/>
          </a:solidFill>
          <a:ln w="19050">
            <a:solidFill>
              <a:schemeClr val="lt1"/>
            </a:solidFill>
          </a:ln>
          <a:effectLst>
            <a:glow rad="546100">
              <a:schemeClr val="accent4">
                <a:satMod val="175000"/>
                <a:alpha val="40000"/>
              </a:schemeClr>
            </a:glow>
          </a:effectLst>
        </c:spPr>
      </c:pivotFmt>
      <c:pivotFmt>
        <c:idx val="23"/>
        <c:spPr>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pivotFmt>
    </c:pivotFmts>
    <c:plotArea>
      <c:layout/>
      <c:doughnutChart>
        <c:varyColors val="1"/>
        <c:ser>
          <c:idx val="0"/>
          <c:order val="0"/>
          <c:tx>
            <c:strRef>
              <c:f>Sheet4!$B$21</c:f>
              <c:strCache>
                <c:ptCount val="1"/>
                <c:pt idx="0">
                  <c:v>Total</c:v>
                </c:pt>
              </c:strCache>
            </c:strRef>
          </c:tx>
          <c:spPr>
            <a:effectLst>
              <a:glow rad="546100">
                <a:schemeClr val="accent4">
                  <a:satMod val="175000"/>
                  <a:alpha val="40000"/>
                </a:schemeClr>
              </a:glow>
            </a:effectLst>
          </c:spPr>
          <c:dPt>
            <c:idx val="0"/>
            <c:bubble3D val="0"/>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1-A12E-4C95-ABF4-9E8F64442324}"/>
              </c:ext>
            </c:extLst>
          </c:dPt>
          <c:dPt>
            <c:idx val="1"/>
            <c:bubble3D val="0"/>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3-A12E-4C95-ABF4-9E8F64442324}"/>
              </c:ext>
            </c:extLst>
          </c:dPt>
          <c:dPt>
            <c:idx val="2"/>
            <c:bubble3D val="0"/>
            <c:spPr>
              <a:blipFill dpi="0" rotWithShape="1">
                <a:blip xmlns:r="http://schemas.openxmlformats.org/officeDocument/2006/relationships" r:embed="rId5">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5-A12E-4C95-ABF4-9E8F64442324}"/>
              </c:ext>
            </c:extLst>
          </c:dPt>
          <c:dPt>
            <c:idx val="3"/>
            <c:bubble3D val="0"/>
            <c:spPr>
              <a:solidFill>
                <a:schemeClr val="accent4"/>
              </a:solid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7-A12E-4C95-ABF4-9E8F64442324}"/>
              </c:ext>
            </c:extLst>
          </c:dPt>
          <c:dPt>
            <c:idx val="4"/>
            <c:bubble3D val="0"/>
            <c:spPr>
              <a:blipFill dpi="0" rotWithShape="1">
                <a:blip xmlns:r="http://schemas.openxmlformats.org/officeDocument/2006/relationships" r:embed="rId6">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9-A12E-4C95-ABF4-9E8F64442324}"/>
              </c:ext>
            </c:extLst>
          </c:dPt>
          <c:dPt>
            <c:idx val="5"/>
            <c:bubble3D val="0"/>
            <c:spPr>
              <a:solidFill>
                <a:srgbClr val="C2EFF0"/>
              </a:solid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B-A12E-4C95-ABF4-9E8F64442324}"/>
              </c:ext>
            </c:extLst>
          </c:dPt>
          <c:dPt>
            <c:idx val="6"/>
            <c:bubble3D val="0"/>
            <c:spPr>
              <a:blipFill dpi="0" rotWithShape="1">
                <a:blip xmlns:r="http://schemas.openxmlformats.org/officeDocument/2006/relationships" r:embed="rId7">
                  <a:extLst>
                    <a:ext uri="{28A0092B-C50C-407E-A947-70E740481C1C}">
                      <a14:useLocalDpi xmlns:a14="http://schemas.microsoft.com/office/drawing/2010/main" val="0"/>
                    </a:ext>
                  </a:extLst>
                </a:blip>
                <a:srcRect/>
                <a:stretch>
                  <a:fillRect/>
                </a:stretch>
              </a:blipFill>
              <a:ln w="19050">
                <a:solidFill>
                  <a:schemeClr val="lt1"/>
                </a:solidFill>
              </a:ln>
              <a:effectLst>
                <a:glow rad="546100">
                  <a:schemeClr val="accent4">
                    <a:satMod val="175000"/>
                    <a:alpha val="40000"/>
                  </a:schemeClr>
                </a:glow>
              </a:effectLst>
            </c:spPr>
            <c:extLst>
              <c:ext xmlns:c16="http://schemas.microsoft.com/office/drawing/2014/chart" uri="{C3380CC4-5D6E-409C-BE32-E72D297353CC}">
                <c16:uniqueId val="{0000000D-A12E-4C95-ABF4-9E8F64442324}"/>
              </c:ext>
            </c:extLst>
          </c:dPt>
          <c:cat>
            <c:strRef>
              <c:f>Sheet4!$A$22:$A$29</c:f>
              <c:strCache>
                <c:ptCount val="7"/>
                <c:pt idx="0">
                  <c:v>Bakery</c:v>
                </c:pt>
                <c:pt idx="1">
                  <c:v>Beverages</c:v>
                </c:pt>
                <c:pt idx="2">
                  <c:v>Dairy</c:v>
                </c:pt>
                <c:pt idx="3">
                  <c:v>Fruits &amp; Vegetables</c:v>
                </c:pt>
                <c:pt idx="4">
                  <c:v>Household</c:v>
                </c:pt>
                <c:pt idx="5">
                  <c:v>Personal Care</c:v>
                </c:pt>
                <c:pt idx="6">
                  <c:v>Snacks</c:v>
                </c:pt>
              </c:strCache>
            </c:strRef>
          </c:cat>
          <c:val>
            <c:numRef>
              <c:f>Sheet4!$B$22:$B$29</c:f>
              <c:numCache>
                <c:formatCode>General</c:formatCode>
                <c:ptCount val="7"/>
                <c:pt idx="0">
                  <c:v>7393.9</c:v>
                </c:pt>
                <c:pt idx="1">
                  <c:v>7339.48</c:v>
                </c:pt>
                <c:pt idx="2">
                  <c:v>7562.15</c:v>
                </c:pt>
                <c:pt idx="3">
                  <c:v>8469.9999999999982</c:v>
                </c:pt>
                <c:pt idx="4">
                  <c:v>4875.25</c:v>
                </c:pt>
                <c:pt idx="5">
                  <c:v>6286.79</c:v>
                </c:pt>
                <c:pt idx="6">
                  <c:v>8246.409999999998</c:v>
                </c:pt>
              </c:numCache>
            </c:numRef>
          </c:val>
          <c:extLst>
            <c:ext xmlns:c16="http://schemas.microsoft.com/office/drawing/2014/chart" uri="{C3380CC4-5D6E-409C-BE32-E72D297353CC}">
              <c16:uniqueId val="{0000000E-A12E-4C95-ABF4-9E8F64442324}"/>
            </c:ext>
          </c:extLst>
        </c:ser>
        <c:dLbls>
          <c:showLegendKey val="0"/>
          <c:showVal val="0"/>
          <c:showCatName val="0"/>
          <c:showSerName val="0"/>
          <c:showPercent val="0"/>
          <c:showBubbleSize val="0"/>
          <c:showLeaderLines val="1"/>
        </c:dLbls>
        <c:firstSliceAng val="0"/>
        <c:holeSize val="75"/>
      </c:doughnutChart>
      <c:spPr>
        <a:noFill/>
        <a:ln>
          <a:solidFill>
            <a:schemeClr val="tx1">
              <a:lumMod val="85000"/>
              <a:lumOff val="15000"/>
            </a:schemeClr>
          </a:solidFill>
        </a:ln>
        <a:effectLst>
          <a:glow rad="1905000">
            <a:schemeClr val="accent4">
              <a:satMod val="175000"/>
              <a:alpha val="40000"/>
            </a:schemeClr>
          </a:glow>
        </a:effectLst>
      </c:spPr>
    </c:plotArea>
    <c:legend>
      <c:legendPos val="r"/>
      <c:layout>
        <c:manualLayout>
          <c:xMode val="edge"/>
          <c:yMode val="edge"/>
          <c:x val="0.69188621249135418"/>
          <c:y val="0.48737138355362941"/>
          <c:w val="0.29918533220675525"/>
          <c:h val="0.39473898253904444"/>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rgbClr val="F5BCF6"/>
      </a:solidFill>
      <a:round/>
    </a:ln>
    <a:effectLst>
      <a:glow rad="4699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[Blinkit_Data.xlsx]Sheet4!PivotTable3</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c:spPr>
        <c:marker>
          <c:symbol val="circle"/>
          <c:size val="5"/>
          <c:spPr>
            <a:solidFill>
              <a:srgbClr val="FF66FF"/>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c:spPr>
        <c:marker>
          <c:symbol val="circle"/>
          <c:size val="5"/>
          <c:spPr>
            <a:solidFill>
              <a:srgbClr val="FF66FF"/>
            </a:solidFill>
            <a:ln w="9525">
              <a:solidFill>
                <a:schemeClr val="bg1">
                  <a:lumMod val="95000"/>
                </a:schemeClr>
              </a:solidFill>
            </a:ln>
            <a:effectLst/>
          </c:spPr>
        </c:marker>
      </c:pivotFmt>
      <c:pivotFmt>
        <c:idx val="44"/>
        <c:spPr>
          <a:solidFill>
            <a:schemeClr val="accent1"/>
          </a:solidFill>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c:spPr>
        <c:marker>
          <c:symbol val="circle"/>
          <c:size val="5"/>
          <c:spPr>
            <a:solidFill>
              <a:srgbClr val="FF66FF"/>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431800">
              <a:schemeClr val="accent4">
                <a:satMod val="175000"/>
                <a:alpha val="40000"/>
              </a:schemeClr>
            </a:glow>
          </a:effectLst>
        </c:spPr>
        <c:marker>
          <c:symbol val="circle"/>
          <c:size val="5"/>
          <c:spPr>
            <a:solidFill>
              <a:schemeClr val="accent1"/>
            </a:solidFill>
            <a:ln w="9525">
              <a:solidFill>
                <a:schemeClr val="accent1">
                  <a:lumMod val="40000"/>
                  <a:lumOff val="60000"/>
                </a:schemeClr>
              </a:solidFill>
            </a:ln>
            <a:effectLst>
              <a:glow rad="431800">
                <a:schemeClr val="accent4">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a:glow rad="533400">
              <a:schemeClr val="accent5">
                <a:satMod val="175000"/>
                <a:alpha val="40000"/>
              </a:schemeClr>
            </a:glow>
          </a:effectLst>
        </c:spPr>
        <c:marker>
          <c:symbol val="circle"/>
          <c:size val="5"/>
          <c:spPr>
            <a:solidFill>
              <a:srgbClr val="FF66FF"/>
            </a:solidFill>
            <a:ln w="9525">
              <a:solidFill>
                <a:schemeClr val="bg1">
                  <a:lumMod val="95000"/>
                </a:schemeClr>
              </a:solidFill>
            </a:ln>
            <a:effectLst>
              <a:glow rad="533400">
                <a:schemeClr val="accent5">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Sheet4!$B$36</c:f>
              <c:strCache>
                <c:ptCount val="1"/>
                <c:pt idx="0">
                  <c:v>Count of Product Name</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431800">
                <a:schemeClr val="accent4">
                  <a:satMod val="175000"/>
                  <a:alpha val="40000"/>
                </a:schemeClr>
              </a:glow>
            </a:effectLst>
          </c:spPr>
          <c:marker>
            <c:symbol val="circle"/>
            <c:size val="5"/>
            <c:spPr>
              <a:solidFill>
                <a:schemeClr val="accent1"/>
              </a:solidFill>
              <a:ln w="9525">
                <a:solidFill>
                  <a:schemeClr val="accent1">
                    <a:lumMod val="40000"/>
                    <a:lumOff val="60000"/>
                  </a:schemeClr>
                </a:solidFill>
              </a:ln>
              <a:effectLst>
                <a:glow rad="431800">
                  <a:schemeClr val="accent4">
                    <a:satMod val="175000"/>
                    <a:alpha val="40000"/>
                  </a:schemeClr>
                </a:glow>
              </a:effectLst>
            </c:spPr>
          </c:marker>
          <c:cat>
            <c:strRef>
              <c:f>Sheet4!$A$37:$A$44</c:f>
              <c:strCache>
                <c:ptCount val="7"/>
                <c:pt idx="0">
                  <c:v>Delhi</c:v>
                </c:pt>
                <c:pt idx="1">
                  <c:v>Gujarat</c:v>
                </c:pt>
                <c:pt idx="2">
                  <c:v>Karnataka</c:v>
                </c:pt>
                <c:pt idx="3">
                  <c:v>Maharashtra</c:v>
                </c:pt>
                <c:pt idx="4">
                  <c:v>Tamil Nadu</c:v>
                </c:pt>
                <c:pt idx="5">
                  <c:v>Telangana</c:v>
                </c:pt>
                <c:pt idx="6">
                  <c:v>West Bengal</c:v>
                </c:pt>
              </c:strCache>
            </c:strRef>
          </c:cat>
          <c:val>
            <c:numRef>
              <c:f>Sheet4!$B$37:$B$44</c:f>
              <c:numCache>
                <c:formatCode>General</c:formatCode>
                <c:ptCount val="7"/>
                <c:pt idx="0">
                  <c:v>21</c:v>
                </c:pt>
                <c:pt idx="1">
                  <c:v>26</c:v>
                </c:pt>
                <c:pt idx="2">
                  <c:v>23</c:v>
                </c:pt>
                <c:pt idx="3">
                  <c:v>44</c:v>
                </c:pt>
                <c:pt idx="4">
                  <c:v>25</c:v>
                </c:pt>
                <c:pt idx="5">
                  <c:v>33</c:v>
                </c:pt>
                <c:pt idx="6">
                  <c:v>28</c:v>
                </c:pt>
              </c:numCache>
            </c:numRef>
          </c:val>
          <c:smooth val="0"/>
          <c:extLst>
            <c:ext xmlns:c16="http://schemas.microsoft.com/office/drawing/2014/chart" uri="{C3380CC4-5D6E-409C-BE32-E72D297353CC}">
              <c16:uniqueId val="{00000000-7034-4867-B632-4BA3F35D108B}"/>
            </c:ext>
          </c:extLst>
        </c:ser>
        <c:ser>
          <c:idx val="1"/>
          <c:order val="1"/>
          <c:tx>
            <c:strRef>
              <c:f>Sheet4!$C$36</c:f>
              <c:strCache>
                <c:ptCount val="1"/>
                <c:pt idx="0">
                  <c:v>Count of City</c:v>
                </c:pt>
              </c:strCache>
            </c:strRef>
          </c:tx>
          <c:spPr>
            <a:ln w="28575" cap="rnd" cmpd="sng">
              <a:gradFill flip="none" rotWithShape="1">
                <a:gsLst>
                  <a:gs pos="26000">
                    <a:schemeClr val="accent5">
                      <a:lumMod val="0"/>
                      <a:lumOff val="10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0" scaled="0"/>
                <a:tileRect/>
              </a:gradFill>
              <a:round/>
            </a:ln>
            <a:effectLst>
              <a:glow rad="533400">
                <a:schemeClr val="accent5">
                  <a:satMod val="175000"/>
                  <a:alpha val="40000"/>
                </a:schemeClr>
              </a:glow>
            </a:effectLst>
          </c:spPr>
          <c:marker>
            <c:symbol val="circle"/>
            <c:size val="5"/>
            <c:spPr>
              <a:solidFill>
                <a:srgbClr val="FF66FF"/>
              </a:solidFill>
              <a:ln w="9525">
                <a:solidFill>
                  <a:schemeClr val="bg1">
                    <a:lumMod val="95000"/>
                  </a:schemeClr>
                </a:solidFill>
              </a:ln>
              <a:effectLst>
                <a:glow rad="533400">
                  <a:schemeClr val="accent5">
                    <a:satMod val="175000"/>
                    <a:alpha val="40000"/>
                  </a:schemeClr>
                </a:glow>
              </a:effectLst>
            </c:spPr>
          </c:marker>
          <c:cat>
            <c:strRef>
              <c:f>Sheet4!$A$37:$A$44</c:f>
              <c:strCache>
                <c:ptCount val="7"/>
                <c:pt idx="0">
                  <c:v>Delhi</c:v>
                </c:pt>
                <c:pt idx="1">
                  <c:v>Gujarat</c:v>
                </c:pt>
                <c:pt idx="2">
                  <c:v>Karnataka</c:v>
                </c:pt>
                <c:pt idx="3">
                  <c:v>Maharashtra</c:v>
                </c:pt>
                <c:pt idx="4">
                  <c:v>Tamil Nadu</c:v>
                </c:pt>
                <c:pt idx="5">
                  <c:v>Telangana</c:v>
                </c:pt>
                <c:pt idx="6">
                  <c:v>West Bengal</c:v>
                </c:pt>
              </c:strCache>
            </c:strRef>
          </c:cat>
          <c:val>
            <c:numRef>
              <c:f>Sheet4!$C$37:$C$44</c:f>
              <c:numCache>
                <c:formatCode>General</c:formatCode>
                <c:ptCount val="7"/>
                <c:pt idx="0">
                  <c:v>21</c:v>
                </c:pt>
                <c:pt idx="1">
                  <c:v>26</c:v>
                </c:pt>
                <c:pt idx="2">
                  <c:v>23</c:v>
                </c:pt>
                <c:pt idx="3">
                  <c:v>44</c:v>
                </c:pt>
                <c:pt idx="4">
                  <c:v>25</c:v>
                </c:pt>
                <c:pt idx="5">
                  <c:v>33</c:v>
                </c:pt>
                <c:pt idx="6">
                  <c:v>28</c:v>
                </c:pt>
              </c:numCache>
            </c:numRef>
          </c:val>
          <c:smooth val="0"/>
          <c:extLst>
            <c:ext xmlns:c16="http://schemas.microsoft.com/office/drawing/2014/chart" uri="{C3380CC4-5D6E-409C-BE32-E72D297353CC}">
              <c16:uniqueId val="{00000001-7034-4867-B632-4BA3F35D108B}"/>
            </c:ext>
          </c:extLst>
        </c:ser>
        <c:dLbls>
          <c:showLegendKey val="0"/>
          <c:showVal val="0"/>
          <c:showCatName val="0"/>
          <c:showSerName val="0"/>
          <c:showPercent val="0"/>
          <c:showBubbleSize val="0"/>
        </c:dLbls>
        <c:marker val="1"/>
        <c:smooth val="0"/>
        <c:axId val="1882806336"/>
        <c:axId val="1882800096"/>
      </c:lineChart>
      <c:catAx>
        <c:axId val="188280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800096"/>
        <c:crosses val="autoZero"/>
        <c:auto val="1"/>
        <c:lblAlgn val="ctr"/>
        <c:lblOffset val="100"/>
        <c:noMultiLvlLbl val="0"/>
      </c:catAx>
      <c:valAx>
        <c:axId val="18828000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280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rgbClr val="F5BCF6"/>
      </a:solidFill>
      <a:round/>
    </a:ln>
    <a:effectLst>
      <a:glow rad="1485900">
        <a:schemeClr val="accent5">
          <a:satMod val="175000"/>
          <a:alpha val="40000"/>
        </a:schemeClr>
      </a:glow>
      <a:softEdge rad="165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[Blinkit_Data.xlsx]Sheet5!PivotTable4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63500">
              <a:schemeClr val="accent4">
                <a:satMod val="175000"/>
                <a:alpha val="93000"/>
              </a:schemeClr>
            </a:glow>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63500">
              <a:schemeClr val="accent4">
                <a:satMod val="175000"/>
                <a:alpha val="93000"/>
              </a:schemeClr>
            </a:glow>
          </a:effectLst>
        </c:spPr>
      </c:pivotFmt>
      <c:pivotFmt>
        <c:idx val="1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63500">
              <a:schemeClr val="accent4">
                <a:satMod val="175000"/>
                <a:alpha val="93000"/>
              </a:schemeClr>
            </a:glo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317500">
              <a:schemeClr val="accent4">
                <a:satMod val="175000"/>
                <a:alpha val="88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a:glow rad="317500">
                <a:schemeClr val="accent4">
                  <a:satMod val="175000"/>
                  <a:alpha val="88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Sheet5!$A$4:$A$9</c:f>
              <c:strCache>
                <c:ptCount val="5"/>
                <c:pt idx="0">
                  <c:v>Cash on Delivery</c:v>
                </c:pt>
                <c:pt idx="1">
                  <c:v>Credit Card</c:v>
                </c:pt>
                <c:pt idx="2">
                  <c:v>Debit Card</c:v>
                </c:pt>
                <c:pt idx="3">
                  <c:v>UPI</c:v>
                </c:pt>
                <c:pt idx="4">
                  <c:v>Wallet</c:v>
                </c:pt>
              </c:strCache>
            </c:strRef>
          </c:cat>
          <c:val>
            <c:numRef>
              <c:f>Sheet5!$B$4:$B$9</c:f>
              <c:numCache>
                <c:formatCode>General</c:formatCode>
                <c:ptCount val="5"/>
                <c:pt idx="0">
                  <c:v>17044.7</c:v>
                </c:pt>
                <c:pt idx="1">
                  <c:v>20842.570000000003</c:v>
                </c:pt>
                <c:pt idx="2">
                  <c:v>18959.689999999999</c:v>
                </c:pt>
                <c:pt idx="3">
                  <c:v>14344.82</c:v>
                </c:pt>
                <c:pt idx="4">
                  <c:v>17816.16</c:v>
                </c:pt>
              </c:numCache>
            </c:numRef>
          </c:val>
          <c:extLst>
            <c:ext xmlns:c16="http://schemas.microsoft.com/office/drawing/2014/chart" uri="{C3380CC4-5D6E-409C-BE32-E72D297353CC}">
              <c16:uniqueId val="{00000000-A055-47DF-BE59-DE5B4E75CBBD}"/>
            </c:ext>
          </c:extLst>
        </c:ser>
        <c:dLbls>
          <c:dLblPos val="outEnd"/>
          <c:showLegendKey val="0"/>
          <c:showVal val="1"/>
          <c:showCatName val="0"/>
          <c:showSerName val="0"/>
          <c:showPercent val="0"/>
          <c:showBubbleSize val="0"/>
        </c:dLbls>
        <c:gapWidth val="326"/>
        <c:overlap val="-58"/>
        <c:axId val="110392432"/>
        <c:axId val="110374672"/>
      </c:barChart>
      <c:valAx>
        <c:axId val="11037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392432"/>
        <c:crosses val="autoZero"/>
        <c:crossBetween val="between"/>
      </c:valAx>
      <c:catAx>
        <c:axId val="11039243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0374672"/>
        <c:crosses val="autoZero"/>
        <c:auto val="1"/>
        <c:lblAlgn val="ctr"/>
        <c:lblOffset val="100"/>
        <c:noMultiLvlLbl val="0"/>
      </c:catAx>
      <c:spPr>
        <a:noFill/>
        <a:ln>
          <a:noFill/>
        </a:ln>
        <a:effectLst>
          <a:glow rad="228600">
            <a:schemeClr val="accent4">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rgbClr val="FF66FF"/>
      </a:solidFill>
      <a:round/>
    </a:ln>
    <a:effectLst>
      <a:glow rad="838200">
        <a:schemeClr val="accent5">
          <a:satMod val="175000"/>
          <a:alpha val="40000"/>
        </a:schemeClr>
      </a:glow>
    </a:effectLst>
  </c:spPr>
  <c:txPr>
    <a:bodyPr/>
    <a:lstStyle/>
    <a:p>
      <a:pPr>
        <a:defRPr b="1" i="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[Blinkit_Data.xlsx]Sheet5!PivotTable5</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extLst>
                <a:ext uri="{28A0092B-C50C-407E-A947-70E740481C1C}">
                  <a14:useLocalDpi xmlns:a14="http://schemas.microsoft.com/office/drawing/2010/main" val="0"/>
                </a:ext>
              </a:extLst>
            </a:blip>
            <a:stretch>
              <a:fillRect/>
            </a:stretch>
          </a:blipFill>
          <a:ln>
            <a:solidFill>
              <a:schemeClr val="accent5">
                <a:lumMod val="20000"/>
                <a:lumOff val="80000"/>
              </a:schemeClr>
            </a:solidFill>
          </a:ln>
          <a:effectLst>
            <a:outerShdw blurRad="50800" dist="38100" dir="17400000" rotWithShape="0">
              <a:srgbClr val="FF66FF">
                <a:alpha val="40000"/>
              </a:srgbClr>
            </a:outerShdw>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extLst>
                <a:ext uri="{28A0092B-C50C-407E-A947-70E740481C1C}">
                  <a14:useLocalDpi xmlns:a14="http://schemas.microsoft.com/office/drawing/2010/main" val="0"/>
                </a:ext>
              </a:extLst>
            </a:blip>
            <a:stretch>
              <a:fillRect/>
            </a:stretch>
          </a:blipFill>
          <a:ln>
            <a:solidFill>
              <a:schemeClr val="accent5">
                <a:lumMod val="20000"/>
                <a:lumOff val="80000"/>
              </a:schemeClr>
            </a:solidFill>
          </a:ln>
          <a:effectLst>
            <a:outerShdw blurRad="50800" dist="38100" dir="17400000" rotWithShape="0">
              <a:srgbClr val="FF66FF">
                <a:alpha val="40000"/>
              </a:srgbClr>
            </a:outerShdw>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extLst>
                <a:ext uri="{28A0092B-C50C-407E-A947-70E740481C1C}">
                  <a14:useLocalDpi xmlns:a14="http://schemas.microsoft.com/office/drawing/2010/main" val="0"/>
                </a:ext>
              </a:extLst>
            </a:blip>
            <a:stretch>
              <a:fillRect/>
            </a:stretch>
          </a:blipFill>
          <a:ln>
            <a:solidFill>
              <a:schemeClr val="accent5">
                <a:lumMod val="20000"/>
                <a:lumOff val="80000"/>
              </a:schemeClr>
            </a:solidFill>
          </a:ln>
          <a:effectLst>
            <a:outerShdw blurRad="50800" dist="38100" dir="17400000" rotWithShape="0">
              <a:srgbClr val="FF66FF">
                <a:alpha val="40000"/>
              </a:srgbClr>
            </a:outerShdw>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Sheet5!$B$22</c:f>
              <c:strCache>
                <c:ptCount val="1"/>
                <c:pt idx="0">
                  <c:v>Count of Product Name</c:v>
                </c:pt>
              </c:strCache>
            </c:strRef>
          </c:tx>
          <c:spPr>
            <a:solidFill>
              <a:schemeClr val="accent1"/>
            </a:solidFill>
            <a:ln>
              <a:noFill/>
            </a:ln>
            <a:effectLst/>
            <a:sp3d/>
          </c:spPr>
          <c:invertIfNegative val="0"/>
          <c:cat>
            <c:strRef>
              <c:f>Sheet5!$A$23:$A$30</c:f>
              <c:strCache>
                <c:ptCount val="7"/>
                <c:pt idx="0">
                  <c:v>Bakery</c:v>
                </c:pt>
                <c:pt idx="1">
                  <c:v>Beverages</c:v>
                </c:pt>
                <c:pt idx="2">
                  <c:v>Dairy</c:v>
                </c:pt>
                <c:pt idx="3">
                  <c:v>Fruits &amp; Vegetables</c:v>
                </c:pt>
                <c:pt idx="4">
                  <c:v>Household</c:v>
                </c:pt>
                <c:pt idx="5">
                  <c:v>Personal Care</c:v>
                </c:pt>
                <c:pt idx="6">
                  <c:v>Snacks</c:v>
                </c:pt>
              </c:strCache>
            </c:strRef>
          </c:cat>
          <c:val>
            <c:numRef>
              <c:f>Sheet5!$B$23:$B$30</c:f>
              <c:numCache>
                <c:formatCode>General</c:formatCode>
                <c:ptCount val="7"/>
                <c:pt idx="0">
                  <c:v>25</c:v>
                </c:pt>
                <c:pt idx="1">
                  <c:v>27</c:v>
                </c:pt>
                <c:pt idx="2">
                  <c:v>30</c:v>
                </c:pt>
                <c:pt idx="3">
                  <c:v>34</c:v>
                </c:pt>
                <c:pt idx="4">
                  <c:v>20</c:v>
                </c:pt>
                <c:pt idx="5">
                  <c:v>32</c:v>
                </c:pt>
                <c:pt idx="6">
                  <c:v>32</c:v>
                </c:pt>
              </c:numCache>
            </c:numRef>
          </c:val>
          <c:extLst>
            <c:ext xmlns:c16="http://schemas.microsoft.com/office/drawing/2014/chart" uri="{C3380CC4-5D6E-409C-BE32-E72D297353CC}">
              <c16:uniqueId val="{00000000-711C-4A1D-B301-BAB90D3B74C3}"/>
            </c:ext>
          </c:extLst>
        </c:ser>
        <c:ser>
          <c:idx val="1"/>
          <c:order val="1"/>
          <c:tx>
            <c:strRef>
              <c:f>Sheet5!$C$22</c:f>
              <c:strCache>
                <c:ptCount val="1"/>
                <c:pt idx="0">
                  <c:v>Sum of Cost Price</c:v>
                </c:pt>
              </c:strCache>
            </c:strRef>
          </c:tx>
          <c:spPr>
            <a:blipFill>
              <a:blip xmlns:r="http://schemas.openxmlformats.org/officeDocument/2006/relationships" r:embed="rId3">
                <a:extLst>
                  <a:ext uri="{28A0092B-C50C-407E-A947-70E740481C1C}">
                    <a14:useLocalDpi xmlns:a14="http://schemas.microsoft.com/office/drawing/2010/main" val="0"/>
                  </a:ext>
                </a:extLst>
              </a:blip>
              <a:stretch>
                <a:fillRect/>
              </a:stretch>
            </a:blipFill>
            <a:ln>
              <a:solidFill>
                <a:schemeClr val="accent5">
                  <a:lumMod val="20000"/>
                  <a:lumOff val="80000"/>
                </a:schemeClr>
              </a:solidFill>
            </a:ln>
            <a:effectLst>
              <a:outerShdw blurRad="50800" dist="38100" dir="17400000" rotWithShape="0">
                <a:srgbClr val="FF66FF">
                  <a:alpha val="40000"/>
                </a:srgbClr>
              </a:outerShdw>
            </a:effectLst>
            <a:sp3d>
              <a:contourClr>
                <a:schemeClr val="accent5">
                  <a:lumMod val="20000"/>
                  <a:lumOff val="80000"/>
                </a:schemeClr>
              </a:contourClr>
            </a:sp3d>
          </c:spPr>
          <c:invertIfNegative val="0"/>
          <c:cat>
            <c:strRef>
              <c:f>Sheet5!$A$23:$A$30</c:f>
              <c:strCache>
                <c:ptCount val="7"/>
                <c:pt idx="0">
                  <c:v>Bakery</c:v>
                </c:pt>
                <c:pt idx="1">
                  <c:v>Beverages</c:v>
                </c:pt>
                <c:pt idx="2">
                  <c:v>Dairy</c:v>
                </c:pt>
                <c:pt idx="3">
                  <c:v>Fruits &amp; Vegetables</c:v>
                </c:pt>
                <c:pt idx="4">
                  <c:v>Household</c:v>
                </c:pt>
                <c:pt idx="5">
                  <c:v>Personal Care</c:v>
                </c:pt>
                <c:pt idx="6">
                  <c:v>Snacks</c:v>
                </c:pt>
              </c:strCache>
            </c:strRef>
          </c:cat>
          <c:val>
            <c:numRef>
              <c:f>Sheet5!$C$23:$C$30</c:f>
              <c:numCache>
                <c:formatCode>General</c:formatCode>
                <c:ptCount val="7"/>
                <c:pt idx="0">
                  <c:v>7393.9</c:v>
                </c:pt>
                <c:pt idx="1">
                  <c:v>7339.48</c:v>
                </c:pt>
                <c:pt idx="2">
                  <c:v>7562.15</c:v>
                </c:pt>
                <c:pt idx="3">
                  <c:v>8469.9999999999982</c:v>
                </c:pt>
                <c:pt idx="4">
                  <c:v>4875.25</c:v>
                </c:pt>
                <c:pt idx="5">
                  <c:v>6286.79</c:v>
                </c:pt>
                <c:pt idx="6">
                  <c:v>8246.409999999998</c:v>
                </c:pt>
              </c:numCache>
            </c:numRef>
          </c:val>
          <c:extLst>
            <c:ext xmlns:c16="http://schemas.microsoft.com/office/drawing/2014/chart" uri="{C3380CC4-5D6E-409C-BE32-E72D297353CC}">
              <c16:uniqueId val="{00000001-711C-4A1D-B301-BAB90D3B74C3}"/>
            </c:ext>
          </c:extLst>
        </c:ser>
        <c:dLbls>
          <c:showLegendKey val="0"/>
          <c:showVal val="0"/>
          <c:showCatName val="0"/>
          <c:showSerName val="0"/>
          <c:showPercent val="0"/>
          <c:showBubbleSize val="0"/>
        </c:dLbls>
        <c:gapWidth val="219"/>
        <c:shape val="box"/>
        <c:axId val="1236755360"/>
        <c:axId val="1236756800"/>
        <c:axId val="0"/>
      </c:bar3DChart>
      <c:catAx>
        <c:axId val="1236755360"/>
        <c:scaling>
          <c:orientation val="minMax"/>
        </c:scaling>
        <c:delete val="0"/>
        <c:axPos val="b"/>
        <c:numFmt formatCode="General" sourceLinked="1"/>
        <c:majorTickMark val="out"/>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756800"/>
        <c:crosses val="autoZero"/>
        <c:auto val="1"/>
        <c:lblAlgn val="ctr"/>
        <c:lblOffset val="100"/>
        <c:noMultiLvlLbl val="0"/>
      </c:catAx>
      <c:valAx>
        <c:axId val="1236756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6755360"/>
        <c:crosses val="autoZero"/>
        <c:crossBetween val="between"/>
      </c:valAx>
      <c:spPr>
        <a:solidFill>
          <a:schemeClr val="tx1">
            <a:lumMod val="85000"/>
            <a:lumOff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rgbClr val="FF66FF"/>
      </a:solidFill>
      <a:round/>
    </a:ln>
    <a:effectLst>
      <a:glow rad="2794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[Blinkit_Data.xlsx]Sheet5!PivotTable11</c:name>
    <c:fmtId val="4"/>
  </c:pivotSource>
  <c:chart>
    <c:autoTitleDeleted val="1"/>
    <c:pivotFmts>
      <c:pivotFmt>
        <c:idx val="0"/>
        <c:spPr>
          <a:solidFill>
            <a:schemeClr val="accent1"/>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marker>
          <c:symbol val="circle"/>
          <c:size val="5"/>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BDEEF5"/>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layout>
            <c:manualLayout>
              <c:x val="-0.14583344269466322"/>
              <c:y val="2.0833515602216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6F8F6E-1E21-4F8F-A968-BDBA88ACD808}" type="PERCENTAGE">
                  <a:rPr lang="en-US" sz="1500"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solidFill>
              <a:schemeClr val="tx1">
                <a:lumMod val="85000"/>
                <a:lumOff val="1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1377952755903"/>
                  <c:h val="0.15270851560221638"/>
                </c:manualLayout>
              </c15:layout>
              <c15:dlblFieldTable/>
              <c15:showDataLabelsRange val="0"/>
            </c:ext>
          </c:extLst>
        </c:dLbl>
      </c:pivotFmt>
      <c:pivotFmt>
        <c:idx val="2"/>
        <c:spPr>
          <a:solidFill>
            <a:srgbClr val="F5BCF6"/>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BDEEF5"/>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layout>
            <c:manualLayout>
              <c:x val="-0.14583344269466322"/>
              <c:y val="2.0833515602216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6F8F6E-1E21-4F8F-A968-BDBA88ACD808}" type="PERCENTAGE">
                  <a:rPr lang="en-US" sz="1500"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solidFill>
              <a:schemeClr val="tx1">
                <a:lumMod val="85000"/>
                <a:lumOff val="1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1377952755903"/>
                  <c:h val="0.15270851560221638"/>
                </c:manualLayout>
              </c15:layout>
              <c15:dlblFieldTable/>
              <c15:showDataLabelsRange val="0"/>
            </c:ext>
          </c:extLst>
        </c:dLbl>
      </c:pivotFmt>
      <c:pivotFmt>
        <c:idx val="5"/>
        <c:spPr>
          <a:solidFill>
            <a:srgbClr val="F5BCF6"/>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marker>
          <c:symbol val="none"/>
        </c:marke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BDEEF5"/>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layout>
            <c:manualLayout>
              <c:x val="-0.14583344269466322"/>
              <c:y val="2.0833515602216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6F8F6E-1E21-4F8F-A968-BDBA88ACD808}" type="PERCENTAGE">
                  <a:rPr lang="en-US" sz="1500" baseline="0">
                    <a:solidFill>
                      <a:schemeClr val="bg1"/>
                    </a:solidFill>
                  </a:rPr>
                  <a:pPr>
                    <a:defRPr/>
                  </a:pPr>
                  <a:t>[PERCENTAGE]</a:t>
                </a:fld>
                <a:endParaRPr lang="en-US"/>
              </a:p>
            </c:rich>
          </c:tx>
          <c:spPr>
            <a:solidFill>
              <a:schemeClr val="tx1">
                <a:lumMod val="85000"/>
                <a:lumOff val="1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1377952755903"/>
                  <c:h val="0.15270851560221638"/>
                </c:manualLayout>
              </c15:layout>
              <c15:dlblFieldTable/>
              <c15:showDataLabelsRange val="0"/>
            </c:ext>
          </c:extLst>
        </c:dLbl>
      </c:pivotFmt>
      <c:pivotFmt>
        <c:idx val="8"/>
        <c:spPr>
          <a:solidFill>
            <a:srgbClr val="F5BCF6"/>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dLbl>
          <c:idx val="0"/>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Sheet5!$B$38</c:f>
              <c:strCache>
                <c:ptCount val="1"/>
                <c:pt idx="0">
                  <c:v>Total</c:v>
                </c:pt>
              </c:strCache>
            </c:strRef>
          </c:tx>
          <c:spPr>
            <a:effectLst>
              <a:glow rad="304800">
                <a:schemeClr val="accent4">
                  <a:satMod val="175000"/>
                  <a:alpha val="40000"/>
                </a:schemeClr>
              </a:glow>
              <a:outerShdw blurRad="63500" sx="98000" sy="98000" algn="ctr" rotWithShape="0">
                <a:schemeClr val="accent4">
                  <a:lumMod val="60000"/>
                  <a:lumOff val="40000"/>
                  <a:alpha val="40000"/>
                </a:schemeClr>
              </a:outerShdw>
            </a:effectLst>
          </c:spPr>
          <c:dPt>
            <c:idx val="0"/>
            <c:bubble3D val="0"/>
            <c:spPr>
              <a:solidFill>
                <a:srgbClr val="BDEEF5"/>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extLst>
              <c:ext xmlns:c16="http://schemas.microsoft.com/office/drawing/2014/chart" uri="{C3380CC4-5D6E-409C-BE32-E72D297353CC}">
                <c16:uniqueId val="{00000001-AAD4-41C9-AA2E-86C4894CF030}"/>
              </c:ext>
            </c:extLst>
          </c:dPt>
          <c:dPt>
            <c:idx val="1"/>
            <c:bubble3D val="0"/>
            <c:spPr>
              <a:solidFill>
                <a:srgbClr val="F5BCF6"/>
              </a:solidFill>
              <a:ln w="19050">
                <a:solidFill>
                  <a:schemeClr val="lt1"/>
                </a:solidFill>
              </a:ln>
              <a:effectLst>
                <a:glow rad="304800">
                  <a:schemeClr val="accent4">
                    <a:satMod val="175000"/>
                    <a:alpha val="40000"/>
                  </a:schemeClr>
                </a:glow>
                <a:outerShdw blurRad="63500" sx="98000" sy="98000" algn="ctr" rotWithShape="0">
                  <a:schemeClr val="accent4">
                    <a:lumMod val="60000"/>
                    <a:lumOff val="40000"/>
                    <a:alpha val="40000"/>
                  </a:schemeClr>
                </a:outerShdw>
              </a:effectLst>
            </c:spPr>
            <c:extLst>
              <c:ext xmlns:c16="http://schemas.microsoft.com/office/drawing/2014/chart" uri="{C3380CC4-5D6E-409C-BE32-E72D297353CC}">
                <c16:uniqueId val="{00000003-AAD4-41C9-AA2E-86C4894CF030}"/>
              </c:ext>
            </c:extLst>
          </c:dPt>
          <c:dLbls>
            <c:dLbl>
              <c:idx val="0"/>
              <c:layout>
                <c:manualLayout>
                  <c:x val="-0.14583344269466322"/>
                  <c:y val="2.083351560221630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F6F8F6E-1E21-4F8F-A968-BDBA88ACD808}" type="PERCENTAGE">
                      <a:rPr lang="en-US" sz="1500" baseline="0">
                        <a:solidFill>
                          <a:schemeClr val="bg1"/>
                        </a:solidFill>
                      </a:rPr>
                      <a:pPr>
                        <a:defRPr/>
                      </a:pPr>
                      <a:t>[PERCENTAGE]</a:t>
                    </a:fld>
                    <a:endParaRPr lang="en-US"/>
                  </a:p>
                </c:rich>
              </c:tx>
              <c:spPr>
                <a:solidFill>
                  <a:schemeClr val="tx1">
                    <a:lumMod val="85000"/>
                    <a:lumOff val="15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1377952755903"/>
                      <c:h val="0.15270851560221638"/>
                    </c:manualLayout>
                  </c15:layout>
                  <c15:dlblFieldTable/>
                  <c15:showDataLabelsRange val="0"/>
                </c:ext>
                <c:ext xmlns:c16="http://schemas.microsoft.com/office/drawing/2014/chart" uri="{C3380CC4-5D6E-409C-BE32-E72D297353CC}">
                  <c16:uniqueId val="{00000001-AAD4-41C9-AA2E-86C4894CF030}"/>
                </c:ext>
              </c:extLst>
            </c:dLbl>
            <c:dLbl>
              <c:idx val="1"/>
              <c:delete val="1"/>
              <c:extLst>
                <c:ext xmlns:c15="http://schemas.microsoft.com/office/drawing/2012/chart" uri="{CE6537A1-D6FC-4f65-9D91-7224C49458BB}"/>
                <c:ext xmlns:c16="http://schemas.microsoft.com/office/drawing/2014/chart" uri="{C3380CC4-5D6E-409C-BE32-E72D297353CC}">
                  <c16:uniqueId val="{00000003-AAD4-41C9-AA2E-86C4894CF030}"/>
                </c:ext>
              </c:extLst>
            </c:dLbl>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Sheet5!$A$39:$A$41</c:f>
              <c:strCache>
                <c:ptCount val="2"/>
                <c:pt idx="0">
                  <c:v>Beverages</c:v>
                </c:pt>
                <c:pt idx="1">
                  <c:v>Dairy</c:v>
                </c:pt>
              </c:strCache>
            </c:strRef>
          </c:cat>
          <c:val>
            <c:numRef>
              <c:f>Sheet5!$B$39:$B$41</c:f>
              <c:numCache>
                <c:formatCode>General</c:formatCode>
                <c:ptCount val="2"/>
                <c:pt idx="0">
                  <c:v>159</c:v>
                </c:pt>
                <c:pt idx="1">
                  <c:v>184</c:v>
                </c:pt>
              </c:numCache>
            </c:numRef>
          </c:val>
          <c:extLst>
            <c:ext xmlns:c16="http://schemas.microsoft.com/office/drawing/2014/chart" uri="{C3380CC4-5D6E-409C-BE32-E72D297353CC}">
              <c16:uniqueId val="{00000004-AAD4-41C9-AA2E-86C4894CF030}"/>
            </c:ext>
          </c:extLst>
        </c:ser>
        <c:dLbls>
          <c:showLegendKey val="0"/>
          <c:showVal val="0"/>
          <c:showCatName val="0"/>
          <c:showSerName val="0"/>
          <c:showPercent val="1"/>
          <c:showBubbleSize val="0"/>
          <c:showLeaderLines val="1"/>
        </c:dLbls>
        <c:firstSliceAng val="0"/>
        <c:holeSize val="75"/>
      </c:doughnutChart>
      <c:spPr>
        <a:solidFill>
          <a:schemeClr val="tx1">
            <a:lumMod val="85000"/>
            <a:lumOff val="1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rgbClr val="FF66FF"/>
      </a:solidFill>
      <a:round/>
    </a:ln>
    <a:effectLst>
      <a:glow rad="4191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431800</xdr:colOff>
      <xdr:row>0</xdr:row>
      <xdr:rowOff>44450</xdr:rowOff>
    </xdr:from>
    <xdr:to>
      <xdr:col>9</xdr:col>
      <xdr:colOff>355600</xdr:colOff>
      <xdr:row>17</xdr:row>
      <xdr:rowOff>88900</xdr:rowOff>
    </xdr:to>
    <xdr:graphicFrame macro="">
      <xdr:nvGraphicFramePr>
        <xdr:cNvPr id="2" name="Chart 1">
          <a:extLst>
            <a:ext uri="{FF2B5EF4-FFF2-40B4-BE49-F238E27FC236}">
              <a16:creationId xmlns:a16="http://schemas.microsoft.com/office/drawing/2014/main" id="{71DDA28B-BE36-6711-ED38-DD9BA513B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158750</xdr:colOff>
      <xdr:row>29</xdr:row>
      <xdr:rowOff>76200</xdr:rowOff>
    </xdr:from>
    <xdr:to>
      <xdr:col>17</xdr:col>
      <xdr:colOff>567690</xdr:colOff>
      <xdr:row>39</xdr:row>
      <xdr:rowOff>63500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CC9B8D6E-33C1-798C-0176-AD0B84F9FF0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329964" y="5337629"/>
              <a:ext cx="1470297" cy="1801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850900</xdr:colOff>
      <xdr:row>17</xdr:row>
      <xdr:rowOff>177800</xdr:rowOff>
    </xdr:from>
    <xdr:to>
      <xdr:col>9</xdr:col>
      <xdr:colOff>241300</xdr:colOff>
      <xdr:row>32</xdr:row>
      <xdr:rowOff>158750</xdr:rowOff>
    </xdr:to>
    <xdr:graphicFrame macro="">
      <xdr:nvGraphicFramePr>
        <xdr:cNvPr id="3" name="Chart 2">
          <a:extLst>
            <a:ext uri="{FF2B5EF4-FFF2-40B4-BE49-F238E27FC236}">
              <a16:creationId xmlns:a16="http://schemas.microsoft.com/office/drawing/2014/main" id="{A51C0EB9-D6E5-3FFE-647D-CD2AAEFB4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203200</xdr:colOff>
      <xdr:row>33</xdr:row>
      <xdr:rowOff>69850</xdr:rowOff>
    </xdr:from>
    <xdr:to>
      <xdr:col>13</xdr:col>
      <xdr:colOff>0</xdr:colOff>
      <xdr:row>48</xdr:row>
      <xdr:rowOff>50800</xdr:rowOff>
    </xdr:to>
    <xdr:graphicFrame macro="">
      <xdr:nvGraphicFramePr>
        <xdr:cNvPr id="4" name="Chart 3">
          <a:extLst>
            <a:ext uri="{FF2B5EF4-FFF2-40B4-BE49-F238E27FC236}">
              <a16:creationId xmlns:a16="http://schemas.microsoft.com/office/drawing/2014/main" id="{2B24E5C7-7DB5-0284-A72A-81CDE573B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589643</xdr:colOff>
      <xdr:row>45</xdr:row>
      <xdr:rowOff>113390</xdr:rowOff>
    </xdr:from>
    <xdr:to>
      <xdr:col>3</xdr:col>
      <xdr:colOff>54429</xdr:colOff>
      <xdr:row>49</xdr:row>
      <xdr:rowOff>45357</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7B9F4F7F-919A-144E-977C-6AD0B41473F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89643" y="8277676"/>
              <a:ext cx="2848429" cy="65768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158751</xdr:colOff>
      <xdr:row>13</xdr:row>
      <xdr:rowOff>3630</xdr:rowOff>
    </xdr:from>
    <xdr:to>
      <xdr:col>14</xdr:col>
      <xdr:colOff>581479</xdr:colOff>
      <xdr:row>27</xdr:row>
      <xdr:rowOff>83002</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AB97DD57-5E0C-188A-5FD6-61A35386298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107465" y="236220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503464</xdr:colOff>
      <xdr:row>0</xdr:row>
      <xdr:rowOff>9978</xdr:rowOff>
    </xdr:from>
    <xdr:to>
      <xdr:col>10</xdr:col>
      <xdr:colOff>366485</xdr:colOff>
      <xdr:row>16</xdr:row>
      <xdr:rowOff>60778</xdr:rowOff>
    </xdr:to>
    <xdr:graphicFrame macro="">
      <xdr:nvGraphicFramePr>
        <xdr:cNvPr id="2" name="Chart 1">
          <a:extLst>
            <a:ext uri="{FF2B5EF4-FFF2-40B4-BE49-F238E27FC236}">
              <a16:creationId xmlns:a16="http://schemas.microsoft.com/office/drawing/2014/main" id="{CB8F11AC-7462-1486-E9AE-B4BFAECCA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505278</xdr:colOff>
      <xdr:row>19</xdr:row>
      <xdr:rowOff>76199</xdr:rowOff>
    </xdr:from>
    <xdr:to>
      <xdr:col>11</xdr:col>
      <xdr:colOff>206829</xdr:colOff>
      <xdr:row>34</xdr:row>
      <xdr:rowOff>57150</xdr:rowOff>
    </xdr:to>
    <xdr:graphicFrame macro="">
      <xdr:nvGraphicFramePr>
        <xdr:cNvPr id="5" name="Chart 4">
          <a:extLst>
            <a:ext uri="{FF2B5EF4-FFF2-40B4-BE49-F238E27FC236}">
              <a16:creationId xmlns:a16="http://schemas.microsoft.com/office/drawing/2014/main" id="{5DE8CA23-4FE6-6852-3ECB-C21B99096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480786</xdr:colOff>
      <xdr:row>4</xdr:row>
      <xdr:rowOff>45357</xdr:rowOff>
    </xdr:from>
    <xdr:ext cx="184731" cy="264560"/>
    <xdr:sp macro="" textlink="">
      <xdr:nvSpPr>
        <xdr:cNvPr id="6" name="TextBox 5">
          <a:extLst>
            <a:ext uri="{FF2B5EF4-FFF2-40B4-BE49-F238E27FC236}">
              <a16:creationId xmlns:a16="http://schemas.microsoft.com/office/drawing/2014/main" id="{ECE7924D-F46B-7DA5-C3C9-8167AA675964}"/>
            </a:ext>
          </a:extLst>
        </xdr:cNvPr>
        <xdr:cNvSpPr txBox="1"/>
      </xdr:nvSpPr>
      <xdr:spPr>
        <a:xfrm>
          <a:off x="4744357" y="771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190501</xdr:colOff>
      <xdr:row>35</xdr:row>
      <xdr:rowOff>129721</xdr:rowOff>
    </xdr:from>
    <xdr:to>
      <xdr:col>10</xdr:col>
      <xdr:colOff>508001</xdr:colOff>
      <xdr:row>50</xdr:row>
      <xdr:rowOff>151492</xdr:rowOff>
    </xdr:to>
    <xdr:graphicFrame macro="">
      <xdr:nvGraphicFramePr>
        <xdr:cNvPr id="7" name="Chart 6">
          <a:extLst>
            <a:ext uri="{FF2B5EF4-FFF2-40B4-BE49-F238E27FC236}">
              <a16:creationId xmlns:a16="http://schemas.microsoft.com/office/drawing/2014/main" id="{D66F227C-A859-FD74-D74A-6C513B2F3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373288</xdr:colOff>
      <xdr:row>2</xdr:row>
      <xdr:rowOff>47625</xdr:rowOff>
    </xdr:from>
    <xdr:to>
      <xdr:col>60</xdr:col>
      <xdr:colOff>330200</xdr:colOff>
      <xdr:row>85</xdr:row>
      <xdr:rowOff>136525</xdr:rowOff>
    </xdr:to>
    <xdr:sp macro="" textlink="">
      <xdr:nvSpPr>
        <xdr:cNvPr id="3" name="Rectangle 2">
          <a:extLst>
            <a:ext uri="{FF2B5EF4-FFF2-40B4-BE49-F238E27FC236}">
              <a16:creationId xmlns:a16="http://schemas.microsoft.com/office/drawing/2014/main" id="{13084E2F-5BBD-64A2-67B3-A82932CE72ED}"/>
            </a:ext>
          </a:extLst>
        </xdr:cNvPr>
        <xdr:cNvSpPr/>
      </xdr:nvSpPr>
      <xdr:spPr>
        <a:xfrm>
          <a:off x="373288" y="403225"/>
          <a:ext cx="36532912" cy="14846300"/>
        </a:xfrm>
        <a:prstGeom prst="rect">
          <a:avLst/>
        </a:prstGeom>
        <a:solidFill>
          <a:schemeClr val="tx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0" b="1" cap="none" spc="50">
              <a:ln w="9525" cmpd="sng">
                <a:solidFill>
                  <a:schemeClr val="accent1"/>
                </a:solidFill>
                <a:prstDash val="solid"/>
              </a:ln>
              <a:solidFill>
                <a:srgbClr val="70AD47">
                  <a:tint val="1000"/>
                </a:srgbClr>
              </a:solidFill>
              <a:effectLst>
                <a:glow rad="38100">
                  <a:schemeClr val="accent1">
                    <a:alpha val="40000"/>
                  </a:schemeClr>
                </a:glow>
              </a:effectLst>
              <a:latin typeface="Times New Roman" panose="02020603050405020304" pitchFamily="18" charset="0"/>
              <a:cs typeface="Times New Roman" panose="02020603050405020304" pitchFamily="18" charset="0"/>
            </a:rPr>
            <a:t>                                                Blinkit Dashboard</a:t>
          </a:r>
        </a:p>
      </xdr:txBody>
    </xdr:sp>
    <xdr:clientData/>
  </xdr:twoCellAnchor>
  <xdr:oneCellAnchor>
    <xdr:from>
      <xdr:col>17</xdr:col>
      <xdr:colOff>99786</xdr:colOff>
      <xdr:row>9</xdr:row>
      <xdr:rowOff>76200</xdr:rowOff>
    </xdr:from>
    <xdr:ext cx="184731" cy="264560"/>
    <xdr:sp macro="" textlink="">
      <xdr:nvSpPr>
        <xdr:cNvPr id="5" name="TextBox 4">
          <a:extLst>
            <a:ext uri="{FF2B5EF4-FFF2-40B4-BE49-F238E27FC236}">
              <a16:creationId xmlns:a16="http://schemas.microsoft.com/office/drawing/2014/main" id="{752BF489-9A62-FF32-105F-D000B6D26C52}"/>
            </a:ext>
          </a:extLst>
        </xdr:cNvPr>
        <xdr:cNvSpPr txBox="1"/>
      </xdr:nvSpPr>
      <xdr:spPr>
        <a:xfrm>
          <a:off x="10432143" y="17090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100"/>
        </a:p>
      </xdr:txBody>
    </xdr:sp>
    <xdr:clientData/>
  </xdr:oneCellAnchor>
  <xdr:twoCellAnchor>
    <xdr:from>
      <xdr:col>15</xdr:col>
      <xdr:colOff>355600</xdr:colOff>
      <xdr:row>10</xdr:row>
      <xdr:rowOff>41275</xdr:rowOff>
    </xdr:from>
    <xdr:to>
      <xdr:col>22</xdr:col>
      <xdr:colOff>355600</xdr:colOff>
      <xdr:row>23</xdr:row>
      <xdr:rowOff>161925</xdr:rowOff>
    </xdr:to>
    <xdr:sp macro="" textlink="">
      <xdr:nvSpPr>
        <xdr:cNvPr id="13" name="Rectangle: Rounded Corners 12">
          <a:extLst>
            <a:ext uri="{FF2B5EF4-FFF2-40B4-BE49-F238E27FC236}">
              <a16:creationId xmlns:a16="http://schemas.microsoft.com/office/drawing/2014/main" id="{5B27CBB8-D4EE-7363-9F3E-E803BE5EEA16}"/>
            </a:ext>
          </a:extLst>
        </xdr:cNvPr>
        <xdr:cNvSpPr/>
      </xdr:nvSpPr>
      <xdr:spPr>
        <a:xfrm>
          <a:off x="9499600" y="1819275"/>
          <a:ext cx="4267200" cy="243205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ln>
                <a:solidFill>
                  <a:schemeClr val="tx1">
                    <a:alpha val="24000"/>
                  </a:schemeClr>
                </a:solidFill>
              </a:ln>
              <a:solidFill>
                <a:schemeClr val="accent5">
                  <a:lumMod val="60000"/>
                  <a:lumOff val="40000"/>
                </a:schemeClr>
              </a:solidFill>
              <a:effectLst>
                <a:glow rad="127000">
                  <a:schemeClr val="accent1">
                    <a:alpha val="53000"/>
                  </a:schemeClr>
                </a:glow>
                <a:outerShdw blurRad="50800" dist="38100" dir="2700000" algn="tl" rotWithShape="0">
                  <a:prstClr val="black">
                    <a:alpha val="40000"/>
                  </a:prstClr>
                </a:outerShdw>
                <a:reflection blurRad="736600" stA="55000" endPos="65000" dist="482600" dir="5400000" sy="-100000" algn="bl" rotWithShape="0"/>
              </a:effectLst>
            </a:rPr>
            <a:t>Total Profit</a:t>
          </a:r>
        </a:p>
      </xdr:txBody>
    </xdr:sp>
    <xdr:clientData/>
  </xdr:twoCellAnchor>
  <xdr:twoCellAnchor>
    <xdr:from>
      <xdr:col>24</xdr:col>
      <xdr:colOff>76200</xdr:colOff>
      <xdr:row>10</xdr:row>
      <xdr:rowOff>101601</xdr:rowOff>
    </xdr:from>
    <xdr:to>
      <xdr:col>31</xdr:col>
      <xdr:colOff>139700</xdr:colOff>
      <xdr:row>24</xdr:row>
      <xdr:rowOff>25401</xdr:rowOff>
    </xdr:to>
    <xdr:sp macro="" textlink="">
      <xdr:nvSpPr>
        <xdr:cNvPr id="15" name="Rectangle: Rounded Corners 14">
          <a:extLst>
            <a:ext uri="{FF2B5EF4-FFF2-40B4-BE49-F238E27FC236}">
              <a16:creationId xmlns:a16="http://schemas.microsoft.com/office/drawing/2014/main" id="{D375F448-5334-8BA7-3581-7DBB07D3CA03}"/>
            </a:ext>
          </a:extLst>
        </xdr:cNvPr>
        <xdr:cNvSpPr/>
      </xdr:nvSpPr>
      <xdr:spPr>
        <a:xfrm>
          <a:off x="14706600" y="1879601"/>
          <a:ext cx="4330700" cy="241300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solidFill>
                <a:schemeClr val="accent5">
                  <a:lumMod val="60000"/>
                  <a:lumOff val="40000"/>
                </a:schemeClr>
              </a:solidFill>
              <a:effectLst>
                <a:glow rad="139700">
                  <a:schemeClr val="accent1">
                    <a:satMod val="175000"/>
                  </a:schemeClr>
                </a:glow>
                <a:reflection blurRad="812800" endPos="65000" dist="254000" dir="5400000" sy="-100000" algn="bl" rotWithShape="0"/>
              </a:effectLst>
            </a:rPr>
            <a:t>Total</a:t>
          </a:r>
          <a:r>
            <a:rPr lang="en-US" sz="4000" baseline="0">
              <a:solidFill>
                <a:schemeClr val="accent5">
                  <a:lumMod val="60000"/>
                  <a:lumOff val="40000"/>
                </a:schemeClr>
              </a:solidFill>
              <a:effectLst>
                <a:glow rad="139700">
                  <a:schemeClr val="accent1">
                    <a:satMod val="175000"/>
                  </a:schemeClr>
                </a:glow>
                <a:reflection blurRad="812800" endPos="65000" dist="254000" dir="5400000" sy="-100000" algn="bl" rotWithShape="0"/>
              </a:effectLst>
            </a:rPr>
            <a:t> Selling Price</a:t>
          </a:r>
          <a:endParaRPr lang="en-US" sz="4000">
            <a:solidFill>
              <a:schemeClr val="accent5">
                <a:lumMod val="60000"/>
                <a:lumOff val="40000"/>
              </a:schemeClr>
            </a:solidFill>
            <a:effectLst>
              <a:glow rad="139700">
                <a:schemeClr val="accent1">
                  <a:satMod val="175000"/>
                </a:schemeClr>
              </a:glow>
              <a:reflection blurRad="812800" endPos="65000" dist="254000" dir="5400000" sy="-100000" algn="bl" rotWithShape="0"/>
            </a:effectLst>
          </a:endParaRPr>
        </a:p>
      </xdr:txBody>
    </xdr:sp>
    <xdr:clientData/>
  </xdr:twoCellAnchor>
  <xdr:twoCellAnchor>
    <xdr:from>
      <xdr:col>32</xdr:col>
      <xdr:colOff>311150</xdr:colOff>
      <xdr:row>11</xdr:row>
      <xdr:rowOff>22225</xdr:rowOff>
    </xdr:from>
    <xdr:to>
      <xdr:col>39</xdr:col>
      <xdr:colOff>285750</xdr:colOff>
      <xdr:row>24</xdr:row>
      <xdr:rowOff>136525</xdr:rowOff>
    </xdr:to>
    <xdr:sp macro="" textlink="">
      <xdr:nvSpPr>
        <xdr:cNvPr id="16" name="Rectangle: Rounded Corners 15">
          <a:extLst>
            <a:ext uri="{FF2B5EF4-FFF2-40B4-BE49-F238E27FC236}">
              <a16:creationId xmlns:a16="http://schemas.microsoft.com/office/drawing/2014/main" id="{968FF91C-D40B-9922-8993-2A1FE72002B2}"/>
            </a:ext>
          </a:extLst>
        </xdr:cNvPr>
        <xdr:cNvSpPr/>
      </xdr:nvSpPr>
      <xdr:spPr>
        <a:xfrm>
          <a:off x="19818350" y="1978025"/>
          <a:ext cx="4241800" cy="242570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a:solidFill>
                <a:schemeClr val="accent5">
                  <a:lumMod val="60000"/>
                  <a:lumOff val="40000"/>
                </a:schemeClr>
              </a:solidFill>
              <a:effectLst>
                <a:glow rad="177800">
                  <a:schemeClr val="accent1">
                    <a:satMod val="175000"/>
                  </a:schemeClr>
                </a:glow>
                <a:reflection blurRad="419100" stA="45000" endPos="65000" dist="50800" dir="5400000" sy="-100000" algn="bl" rotWithShape="0"/>
              </a:effectLst>
            </a:rPr>
            <a:t>Total Cost</a:t>
          </a:r>
          <a:r>
            <a:rPr lang="en-US" sz="4000" baseline="0">
              <a:solidFill>
                <a:schemeClr val="accent5">
                  <a:lumMod val="60000"/>
                  <a:lumOff val="40000"/>
                </a:schemeClr>
              </a:solidFill>
              <a:effectLst>
                <a:glow rad="177800">
                  <a:schemeClr val="accent1">
                    <a:satMod val="175000"/>
                  </a:schemeClr>
                </a:glow>
                <a:reflection blurRad="419100" stA="45000" endPos="65000" dist="50800" dir="5400000" sy="-100000" algn="bl" rotWithShape="0"/>
              </a:effectLst>
            </a:rPr>
            <a:t> Price</a:t>
          </a:r>
          <a:endParaRPr lang="en-US" sz="4000">
            <a:solidFill>
              <a:schemeClr val="accent5">
                <a:lumMod val="60000"/>
                <a:lumOff val="40000"/>
              </a:schemeClr>
            </a:solidFill>
            <a:effectLst>
              <a:glow rad="177800">
                <a:schemeClr val="accent1">
                  <a:satMod val="175000"/>
                </a:schemeClr>
              </a:glow>
              <a:reflection blurRad="419100" stA="45000" endPos="65000" dist="50800" dir="5400000" sy="-100000" algn="bl" rotWithShape="0"/>
            </a:effectLst>
          </a:endParaRPr>
        </a:p>
      </xdr:txBody>
    </xdr:sp>
    <xdr:clientData/>
  </xdr:twoCellAnchor>
  <xdr:twoCellAnchor>
    <xdr:from>
      <xdr:col>40</xdr:col>
      <xdr:colOff>381000</xdr:colOff>
      <xdr:row>34</xdr:row>
      <xdr:rowOff>76200</xdr:rowOff>
    </xdr:from>
    <xdr:to>
      <xdr:col>59</xdr:col>
      <xdr:colOff>533400</xdr:colOff>
      <xdr:row>82</xdr:row>
      <xdr:rowOff>76200</xdr:rowOff>
    </xdr:to>
    <xdr:graphicFrame macro="">
      <xdr:nvGraphicFramePr>
        <xdr:cNvPr id="19" name="Chart 18">
          <a:extLst>
            <a:ext uri="{FF2B5EF4-FFF2-40B4-BE49-F238E27FC236}">
              <a16:creationId xmlns:a16="http://schemas.microsoft.com/office/drawing/2014/main" id="{B17B21A7-1AA1-4E05-9F1A-481C71EC3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168275</xdr:colOff>
      <xdr:row>16</xdr:row>
      <xdr:rowOff>25400</xdr:rowOff>
    </xdr:from>
    <xdr:ext cx="2438873" cy="781111"/>
    <xdr:sp macro="" textlink="">
      <xdr:nvSpPr>
        <xdr:cNvPr id="20" name="TextBox 19">
          <a:extLst>
            <a:ext uri="{FF2B5EF4-FFF2-40B4-BE49-F238E27FC236}">
              <a16:creationId xmlns:a16="http://schemas.microsoft.com/office/drawing/2014/main" id="{E55DE47B-B118-C293-0D08-96405AAE3E3F}"/>
            </a:ext>
          </a:extLst>
        </xdr:cNvPr>
        <xdr:cNvSpPr txBox="1"/>
      </xdr:nvSpPr>
      <xdr:spPr>
        <a:xfrm>
          <a:off x="10531475" y="2870200"/>
          <a:ext cx="243887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0" i="0" u="none" strike="noStrike">
              <a:solidFill>
                <a:schemeClr val="bg1"/>
              </a:solidFill>
              <a:effectLst/>
              <a:latin typeface="+mn-lt"/>
              <a:ea typeface="+mn-ea"/>
              <a:cs typeface="+mn-cs"/>
            </a:rPr>
            <a:t>89007.94 </a:t>
          </a:r>
          <a:endParaRPr lang="en-US" sz="4400">
            <a:solidFill>
              <a:schemeClr val="bg1"/>
            </a:solidFill>
          </a:endParaRPr>
        </a:p>
      </xdr:txBody>
    </xdr:sp>
    <xdr:clientData/>
  </xdr:oneCellAnchor>
  <xdr:oneCellAnchor>
    <xdr:from>
      <xdr:col>25</xdr:col>
      <xdr:colOff>336550</xdr:colOff>
      <xdr:row>16</xdr:row>
      <xdr:rowOff>76200</xdr:rowOff>
    </xdr:from>
    <xdr:ext cx="2438873" cy="781111"/>
    <xdr:sp macro="" textlink="">
      <xdr:nvSpPr>
        <xdr:cNvPr id="21" name="TextBox 20">
          <a:extLst>
            <a:ext uri="{FF2B5EF4-FFF2-40B4-BE49-F238E27FC236}">
              <a16:creationId xmlns:a16="http://schemas.microsoft.com/office/drawing/2014/main" id="{A316EEFC-525E-BB2B-5FE9-303383898B71}"/>
            </a:ext>
          </a:extLst>
        </xdr:cNvPr>
        <xdr:cNvSpPr txBox="1"/>
      </xdr:nvSpPr>
      <xdr:spPr>
        <a:xfrm>
          <a:off x="15576550" y="2921000"/>
          <a:ext cx="243887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0" i="0" u="none" strike="noStrike">
              <a:solidFill>
                <a:schemeClr val="bg1"/>
              </a:solidFill>
              <a:effectLst/>
              <a:latin typeface="+mn-lt"/>
              <a:ea typeface="+mn-ea"/>
              <a:cs typeface="+mn-cs"/>
            </a:rPr>
            <a:t>65551.16</a:t>
          </a:r>
          <a:r>
            <a:rPr lang="en-US" sz="4400">
              <a:solidFill>
                <a:schemeClr val="bg1"/>
              </a:solidFill>
              <a:effectLst/>
            </a:rPr>
            <a:t> </a:t>
          </a:r>
          <a:endParaRPr lang="en-US" sz="4400">
            <a:solidFill>
              <a:schemeClr val="bg1"/>
            </a:solidFill>
          </a:endParaRPr>
        </a:p>
      </xdr:txBody>
    </xdr:sp>
    <xdr:clientData/>
  </xdr:oneCellAnchor>
  <xdr:oneCellAnchor>
    <xdr:from>
      <xdr:col>33</xdr:col>
      <xdr:colOff>460375</xdr:colOff>
      <xdr:row>16</xdr:row>
      <xdr:rowOff>155575</xdr:rowOff>
    </xdr:from>
    <xdr:ext cx="2438873" cy="781111"/>
    <xdr:sp macro="" textlink="">
      <xdr:nvSpPr>
        <xdr:cNvPr id="24" name="TextBox 23">
          <a:extLst>
            <a:ext uri="{FF2B5EF4-FFF2-40B4-BE49-F238E27FC236}">
              <a16:creationId xmlns:a16="http://schemas.microsoft.com/office/drawing/2014/main" id="{B3139161-03BC-48C9-A26C-A44E38B979C2}"/>
            </a:ext>
          </a:extLst>
        </xdr:cNvPr>
        <xdr:cNvSpPr txBox="1"/>
      </xdr:nvSpPr>
      <xdr:spPr>
        <a:xfrm>
          <a:off x="20577175" y="3000375"/>
          <a:ext cx="2438873"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400" b="0" i="0" u="none" strike="noStrike">
              <a:solidFill>
                <a:schemeClr val="bg1"/>
              </a:solidFill>
              <a:effectLst/>
              <a:latin typeface="+mn-lt"/>
              <a:ea typeface="+mn-ea"/>
              <a:cs typeface="+mn-cs"/>
            </a:rPr>
            <a:t>50173.98</a:t>
          </a:r>
          <a:r>
            <a:rPr lang="en-US" sz="4400">
              <a:solidFill>
                <a:schemeClr val="bg1"/>
              </a:solidFill>
              <a:effectLst/>
            </a:rPr>
            <a:t> </a:t>
          </a:r>
          <a:endParaRPr lang="en-US" sz="4400">
            <a:solidFill>
              <a:schemeClr val="bg1"/>
            </a:solidFill>
          </a:endParaRPr>
        </a:p>
      </xdr:txBody>
    </xdr:sp>
    <xdr:clientData/>
  </xdr:oneCellAnchor>
  <xdr:twoCellAnchor>
    <xdr:from>
      <xdr:col>40</xdr:col>
      <xdr:colOff>355600</xdr:colOff>
      <xdr:row>5</xdr:row>
      <xdr:rowOff>152400</xdr:rowOff>
    </xdr:from>
    <xdr:to>
      <xdr:col>54</xdr:col>
      <xdr:colOff>76200</xdr:colOff>
      <xdr:row>31</xdr:row>
      <xdr:rowOff>76200</xdr:rowOff>
    </xdr:to>
    <xdr:graphicFrame macro="">
      <xdr:nvGraphicFramePr>
        <xdr:cNvPr id="25" name="Chart 24">
          <a:extLst>
            <a:ext uri="{FF2B5EF4-FFF2-40B4-BE49-F238E27FC236}">
              <a16:creationId xmlns:a16="http://schemas.microsoft.com/office/drawing/2014/main" id="{3DEF4679-6C10-405A-8F9D-F01FA419E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27</xdr:row>
      <xdr:rowOff>127000</xdr:rowOff>
    </xdr:from>
    <xdr:to>
      <xdr:col>39</xdr:col>
      <xdr:colOff>381000</xdr:colOff>
      <xdr:row>62</xdr:row>
      <xdr:rowOff>25400</xdr:rowOff>
    </xdr:to>
    <xdr:graphicFrame macro="">
      <xdr:nvGraphicFramePr>
        <xdr:cNvPr id="26" name="Chart 25">
          <a:extLst>
            <a:ext uri="{FF2B5EF4-FFF2-40B4-BE49-F238E27FC236}">
              <a16:creationId xmlns:a16="http://schemas.microsoft.com/office/drawing/2014/main" id="{1E3239C2-0D3E-4CB9-B641-7DC1EDBC8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482601</xdr:colOff>
      <xdr:row>65</xdr:row>
      <xdr:rowOff>0</xdr:rowOff>
    </xdr:from>
    <xdr:to>
      <xdr:col>39</xdr:col>
      <xdr:colOff>457201</xdr:colOff>
      <xdr:row>82</xdr:row>
      <xdr:rowOff>127000</xdr:rowOff>
    </xdr:to>
    <mc:AlternateContent xmlns:mc="http://schemas.openxmlformats.org/markup-compatibility/2006" xmlns:tsle="http://schemas.microsoft.com/office/drawing/2012/timeslicer">
      <mc:Choice Requires="tsle">
        <xdr:graphicFrame macro="">
          <xdr:nvGraphicFramePr>
            <xdr:cNvPr id="31" name="Order Date 1">
              <a:extLst>
                <a:ext uri="{FF2B5EF4-FFF2-40B4-BE49-F238E27FC236}">
                  <a16:creationId xmlns:a16="http://schemas.microsoft.com/office/drawing/2014/main" id="{86E83D06-AE49-44FD-AC32-A8CEA0CBE32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171995" y="11917506"/>
              <a:ext cx="13510205" cy="27890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584200</xdr:colOff>
      <xdr:row>4</xdr:row>
      <xdr:rowOff>101600</xdr:rowOff>
    </xdr:from>
    <xdr:to>
      <xdr:col>13</xdr:col>
      <xdr:colOff>508000</xdr:colOff>
      <xdr:row>33</xdr:row>
      <xdr:rowOff>-1</xdr:rowOff>
    </xdr:to>
    <xdr:graphicFrame macro="">
      <xdr:nvGraphicFramePr>
        <xdr:cNvPr id="33" name="Chart 32">
          <a:extLst>
            <a:ext uri="{FF2B5EF4-FFF2-40B4-BE49-F238E27FC236}">
              <a16:creationId xmlns:a16="http://schemas.microsoft.com/office/drawing/2014/main" id="{186D567B-7088-429D-8CB1-EB6B91E3A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36</xdr:row>
      <xdr:rowOff>149224</xdr:rowOff>
    </xdr:from>
    <xdr:to>
      <xdr:col>13</xdr:col>
      <xdr:colOff>482600</xdr:colOff>
      <xdr:row>61</xdr:row>
      <xdr:rowOff>152399</xdr:rowOff>
    </xdr:to>
    <xdr:graphicFrame macro="">
      <xdr:nvGraphicFramePr>
        <xdr:cNvPr id="34" name="Chart 33">
          <a:extLst>
            <a:ext uri="{FF2B5EF4-FFF2-40B4-BE49-F238E27FC236}">
              <a16:creationId xmlns:a16="http://schemas.microsoft.com/office/drawing/2014/main" id="{6D2E7510-01D2-4A23-B9C8-D5D0022C4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25400</xdr:colOff>
      <xdr:row>64</xdr:row>
      <xdr:rowOff>127000</xdr:rowOff>
    </xdr:from>
    <xdr:to>
      <xdr:col>13</xdr:col>
      <xdr:colOff>508000</xdr:colOff>
      <xdr:row>84</xdr:row>
      <xdr:rowOff>0</xdr:rowOff>
    </xdr:to>
    <xdr:graphicFrame macro="">
      <xdr:nvGraphicFramePr>
        <xdr:cNvPr id="36" name="Chart 35">
          <a:extLst>
            <a:ext uri="{FF2B5EF4-FFF2-40B4-BE49-F238E27FC236}">
              <a16:creationId xmlns:a16="http://schemas.microsoft.com/office/drawing/2014/main" id="{F76E319F-9010-4BCF-89F5-7B393A22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55</xdr:col>
      <xdr:colOff>43088</xdr:colOff>
      <xdr:row>6</xdr:row>
      <xdr:rowOff>25400</xdr:rowOff>
    </xdr:from>
    <xdr:to>
      <xdr:col>59</xdr:col>
      <xdr:colOff>558800</xdr:colOff>
      <xdr:row>31</xdr:row>
      <xdr:rowOff>0</xdr:rowOff>
    </xdr:to>
    <mc:AlternateContent xmlns:mc="http://schemas.openxmlformats.org/markup-compatibility/2006" xmlns:a14="http://schemas.microsoft.com/office/drawing/2010/main">
      <mc:Choice Requires="a14">
        <xdr:graphicFrame macro="">
          <xdr:nvGraphicFramePr>
            <xdr:cNvPr id="2" name="Months (Order Date) 1">
              <a:extLst>
                <a:ext uri="{FF2B5EF4-FFF2-40B4-BE49-F238E27FC236}">
                  <a16:creationId xmlns:a16="http://schemas.microsoft.com/office/drawing/2014/main" id="{066B4AF7-928C-4E2E-8359-D5301D159B10}"/>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3571088" y="1092200"/>
              <a:ext cx="2954112" cy="441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3.384602199076" createdVersion="8" refreshedVersion="8" minRefreshableVersion="3" recordCount="200" xr:uid="{AB7019ED-E1D8-41BA-B90E-1A378A8657B3}">
  <cacheSource type="worksheet">
    <worksheetSource name="Table1"/>
  </cacheSource>
  <cacheFields count="18">
    <cacheField name="Order ID" numFmtId="0">
      <sharedItems count="2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haredItems>
    </cacheField>
    <cacheField name="Order Date" numFmtId="14">
      <sharedItems containsSemiMixedTypes="0" containsNonDate="0" containsDate="1" containsString="0" minDate="2023-01-04T00:00:00" maxDate="2023-12-31T00:00:00" count="159">
        <d v="2023-02-14T00:00:00"/>
        <d v="2023-04-12T00:00:00"/>
        <d v="2023-12-24T00:00:00"/>
        <d v="2023-02-19T00:00:00"/>
        <d v="2023-05-31T00:00:00"/>
        <d v="2023-02-10T00:00:00"/>
        <d v="2023-07-01T00:00:00"/>
        <d v="2023-07-14T00:00:00"/>
        <d v="2023-06-11T00:00:00"/>
        <d v="2023-07-22T00:00:00"/>
        <d v="2023-08-08T00:00:00"/>
        <d v="2023-02-26T00:00:00"/>
        <d v="2023-10-11T00:00:00"/>
        <d v="2023-08-11T00:00:00"/>
        <d v="2023-11-24T00:00:00"/>
        <d v="2023-06-15T00:00:00"/>
        <d v="2023-05-04T00:00:00"/>
        <d v="2023-03-07T00:00:00"/>
        <d v="2023-06-09T00:00:00"/>
        <d v="2023-10-29T00:00:00"/>
        <d v="2023-06-19T00:00:00"/>
        <d v="2023-10-23T00:00:00"/>
        <d v="2023-07-30T00:00:00"/>
        <d v="2023-04-08T00:00:00"/>
        <d v="2023-02-20T00:00:00"/>
        <d v="2023-09-04T00:00:00"/>
        <d v="2023-05-27T00:00:00"/>
        <d v="2023-02-01T00:00:00"/>
        <d v="2023-09-18T00:00:00"/>
        <d v="2023-05-07T00:00:00"/>
        <d v="2023-05-14T00:00:00"/>
        <d v="2023-02-07T00:00:00"/>
        <d v="2023-05-06T00:00:00"/>
        <d v="2023-01-05T00:00:00"/>
        <d v="2023-03-21T00:00:00"/>
        <d v="2023-05-09T00:00:00"/>
        <d v="2023-11-23T00:00:00"/>
        <d v="2023-10-07T00:00:00"/>
        <d v="2023-12-16T00:00:00"/>
        <d v="2023-05-02T00:00:00"/>
        <d v="2023-12-09T00:00:00"/>
        <d v="2023-04-24T00:00:00"/>
        <d v="2023-07-24T00:00:00"/>
        <d v="2023-03-01T00:00:00"/>
        <d v="2023-09-19T00:00:00"/>
        <d v="2023-12-18T00:00:00"/>
        <d v="2023-12-06T00:00:00"/>
        <d v="2023-07-27T00:00:00"/>
        <d v="2023-08-27T00:00:00"/>
        <d v="2023-05-26T00:00:00"/>
        <d v="2023-03-17T00:00:00"/>
        <d v="2023-04-10T00:00:00"/>
        <d v="2023-08-06T00:00:00"/>
        <d v="2023-08-26T00:00:00"/>
        <d v="2023-08-17T00:00:00"/>
        <d v="2023-09-06T00:00:00"/>
        <d v="2023-10-04T00:00:00"/>
        <d v="2023-07-28T00:00:00"/>
        <d v="2023-12-23T00:00:00"/>
        <d v="2023-10-03T00:00:00"/>
        <d v="2023-10-31T00:00:00"/>
        <d v="2023-06-17T00:00:00"/>
        <d v="2023-08-29T00:00:00"/>
        <d v="2023-12-25T00:00:00"/>
        <d v="2023-02-08T00:00:00"/>
        <d v="2023-01-22T00:00:00"/>
        <d v="2023-09-08T00:00:00"/>
        <d v="2023-11-12T00:00:00"/>
        <d v="2023-06-16T00:00:00"/>
        <d v="2023-10-12T00:00:00"/>
        <d v="2023-12-20T00:00:00"/>
        <d v="2023-07-08T00:00:00"/>
        <d v="2023-05-19T00:00:00"/>
        <d v="2023-04-09T00:00:00"/>
        <d v="2023-06-01T00:00:00"/>
        <d v="2023-06-24T00:00:00"/>
        <d v="2023-11-19T00:00:00"/>
        <d v="2023-10-13T00:00:00"/>
        <d v="2023-05-16T00:00:00"/>
        <d v="2023-12-19T00:00:00"/>
        <d v="2023-02-06T00:00:00"/>
        <d v="2023-08-28T00:00:00"/>
        <d v="2023-08-10T00:00:00"/>
        <d v="2023-12-11T00:00:00"/>
        <d v="2023-08-12T00:00:00"/>
        <d v="2023-06-18T00:00:00"/>
        <d v="2023-05-10T00:00:00"/>
        <d v="2023-01-28T00:00:00"/>
        <d v="2023-10-09T00:00:00"/>
        <d v="2023-12-30T00:00:00"/>
        <d v="2023-11-28T00:00:00"/>
        <d v="2023-08-22T00:00:00"/>
        <d v="2023-05-22T00:00:00"/>
        <d v="2023-10-24T00:00:00"/>
        <d v="2023-07-13T00:00:00"/>
        <d v="2023-08-31T00:00:00"/>
        <d v="2023-02-21T00:00:00"/>
        <d v="2023-08-24T00:00:00"/>
        <d v="2023-06-03T00:00:00"/>
        <d v="2023-02-24T00:00:00"/>
        <d v="2023-05-21T00:00:00"/>
        <d v="2023-11-07T00:00:00"/>
        <d v="2023-11-18T00:00:00"/>
        <d v="2023-05-20T00:00:00"/>
        <d v="2023-01-08T00:00:00"/>
        <d v="2023-09-10T00:00:00"/>
        <d v="2023-04-22T00:00:00"/>
        <d v="2023-11-25T00:00:00"/>
        <d v="2023-04-16T00:00:00"/>
        <d v="2023-11-02T00:00:00"/>
        <d v="2023-03-09T00:00:00"/>
        <d v="2023-09-27T00:00:00"/>
        <d v="2023-08-07T00:00:00"/>
        <d v="2023-03-06T00:00:00"/>
        <d v="2023-08-09T00:00:00"/>
        <d v="2023-02-04T00:00:00"/>
        <d v="2023-10-28T00:00:00"/>
        <d v="2023-05-28T00:00:00"/>
        <d v="2023-06-29T00:00:00"/>
        <d v="2023-11-15T00:00:00"/>
        <d v="2023-02-05T00:00:00"/>
        <d v="2023-01-04T00:00:00"/>
        <d v="2023-05-29T00:00:00"/>
        <d v="2023-02-15T00:00:00"/>
        <d v="2023-04-01T00:00:00"/>
        <d v="2023-10-30T00:00:00"/>
        <d v="2023-02-09T00:00:00"/>
        <d v="2023-11-30T00:00:00"/>
        <d v="2023-02-13T00:00:00"/>
        <d v="2023-03-23T00:00:00"/>
        <d v="2023-02-03T00:00:00"/>
        <d v="2023-02-11T00:00:00"/>
        <d v="2023-12-29T00:00:00"/>
        <d v="2023-03-12T00:00:00"/>
        <d v="2023-11-13T00:00:00"/>
        <d v="2023-08-13T00:00:00"/>
        <d v="2023-05-03T00:00:00"/>
        <d v="2023-07-15T00:00:00"/>
        <d v="2023-09-20T00:00:00"/>
        <d v="2023-11-29T00:00:00"/>
        <d v="2023-08-18T00:00:00"/>
        <d v="2023-09-28T00:00:00"/>
        <d v="2023-08-23T00:00:00"/>
        <d v="2023-05-30T00:00:00"/>
        <d v="2023-01-09T00:00:00"/>
        <d v="2023-03-10T00:00:00"/>
        <d v="2023-03-11T00:00:00"/>
        <d v="2023-09-21T00:00:00"/>
        <d v="2023-12-02T00:00:00"/>
        <d v="2023-04-06T00:00:00"/>
        <d v="2023-11-05T00:00:00"/>
        <d v="2023-11-08T00:00:00"/>
        <d v="2023-10-18T00:00:00"/>
        <d v="2023-09-29T00:00:00"/>
        <d v="2023-07-18T00:00:00"/>
        <d v="2023-04-13T00:00:00"/>
        <d v="2023-12-08T00:00:00"/>
        <d v="2023-06-26T00:00:00"/>
        <d v="2023-09-23T00:00:00"/>
      </sharedItems>
      <fieldGroup par="17"/>
    </cacheField>
    <cacheField name="Product Category" numFmtId="0">
      <sharedItems count="7">
        <s v="Personal Care"/>
        <s v="Bakery"/>
        <s v="Beverages"/>
        <s v="Snacks"/>
        <s v="Household"/>
        <s v="Dairy"/>
        <s v="Fruits &amp; Vegetables"/>
      </sharedItems>
    </cacheField>
    <cacheField name="Product Name" numFmtId="0">
      <sharedItems count="35">
        <s v="Shampoo"/>
        <s v="Donut"/>
        <s v="Face Wash"/>
        <s v="Juice"/>
        <s v="Noodles"/>
        <s v="Mop"/>
        <s v="Cleaner"/>
        <s v="Butter"/>
        <s v="Chocolate"/>
        <s v="Lotion"/>
        <s v="Cheese"/>
        <s v="Detergent"/>
        <s v="Curd"/>
        <s v="Muffin"/>
        <s v="Tea"/>
        <s v="Bread"/>
        <s v="Cake"/>
        <s v="Onion"/>
        <s v="Coffee"/>
        <s v="Energy Drink"/>
        <s v="Toothpaste"/>
        <s v="Banana"/>
        <s v="Potato"/>
        <s v="Biscuits"/>
        <s v="Tomato"/>
        <s v="Milk"/>
        <s v="Soap"/>
        <s v="Soda"/>
        <s v="Apple"/>
        <s v="Popcorn"/>
        <s v="Dish Soap"/>
        <s v="Tissue"/>
        <s v="Chips"/>
        <s v="Paneer"/>
        <s v="Croissant"/>
      </sharedItems>
    </cacheField>
    <cacheField name="City" numFmtId="0">
      <sharedItems count="8">
        <s v="Delhi"/>
        <s v="Pune"/>
        <s v="Chennai"/>
        <s v="Kolkata"/>
        <s v="Mumbai"/>
        <s v="Hyderabad"/>
        <s v="Bangalore"/>
        <s v="Ahmedabad"/>
      </sharedItems>
    </cacheField>
    <cacheField name="State" numFmtId="0">
      <sharedItems count="7">
        <s v="Delhi"/>
        <s v="Maharashtra"/>
        <s v="Tamil Nadu"/>
        <s v="West Bengal"/>
        <s v="Telangana"/>
        <s v="Karnataka"/>
        <s v="Gujarat"/>
      </sharedItems>
    </cacheField>
    <cacheField name="Order Quantity" numFmtId="0">
      <sharedItems containsSemiMixedTypes="0" containsString="0" containsNumber="1" containsInteger="1" minValue="1" maxValue="10" count="10">
        <n v="5"/>
        <n v="1"/>
        <n v="4"/>
        <n v="3"/>
        <n v="10"/>
        <n v="7"/>
        <n v="6"/>
        <n v="9"/>
        <n v="8"/>
        <n v="2"/>
      </sharedItems>
    </cacheField>
    <cacheField name="Selling Price" numFmtId="0">
      <sharedItems containsSemiMixedTypes="0" containsString="0" containsNumber="1" minValue="15.99" maxValue="688.11"/>
    </cacheField>
    <cacheField name="Cost Price" numFmtId="0">
      <sharedItems containsSemiMixedTypes="0" containsString="0" containsNumber="1" minValue="12.89" maxValue="498.69"/>
    </cacheField>
    <cacheField name="Discount (%)" numFmtId="0">
      <sharedItems containsSemiMixedTypes="0" containsString="0" containsNumber="1" containsInteger="1" minValue="0" maxValue="20"/>
    </cacheField>
    <cacheField name="Delivery Time (min)" numFmtId="0">
      <sharedItems containsSemiMixedTypes="0" containsString="0" containsNumber="1" containsInteger="1" minValue="10" maxValue="120"/>
    </cacheField>
    <cacheField name="Payment Mode" numFmtId="0">
      <sharedItems count="5">
        <s v="Wallet"/>
        <s v="Credit Card"/>
        <s v="Cash on Delivery"/>
        <s v="Debit Card"/>
        <s v="UPI"/>
      </sharedItems>
    </cacheField>
    <cacheField name="total sale " numFmtId="0">
      <sharedItems containsSemiMixedTypes="0" containsString="0" containsNumber="1" minValue="60.58" maxValue="6661.4"/>
    </cacheField>
    <cacheField name="Total cost" numFmtId="0">
      <sharedItems containsSemiMixedTypes="0" containsString="0" containsNumber="1" minValue="44.79" maxValue="4885.4000000000005"/>
    </cacheField>
    <cacheField name="Profit" numFmtId="0">
      <sharedItems containsSemiMixedTypes="0" containsString="0" containsNumber="1" minValue="10.490000000000002" maxValue="2008.8999999999996"/>
    </cacheField>
    <cacheField name="GST Tax (18%)" numFmtId="0">
      <sharedItems containsSemiMixedTypes="0" containsString="0" containsNumber="1" minValue="10.904399999999999" maxValue="1199.0519999999999"/>
    </cacheField>
    <cacheField name="Days (Order Date)" numFmtId="0" databaseField="0">
      <fieldGroup base="1">
        <rangePr groupBy="days" startDate="2023-01-04T00:00:00" endDate="2023-12-31T00:00:00"/>
        <groupItems count="368">
          <s v="&lt;1/4/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3"/>
        </groupItems>
      </fieldGroup>
    </cacheField>
    <cacheField name="Months (Order Date)" numFmtId="0" databaseField="0">
      <fieldGroup base="1">
        <rangePr groupBy="months" startDate="2023-01-04T00:00:00" endDate="2023-12-31T00:00:00"/>
        <groupItems count="14">
          <s v="&lt;1/4/2023"/>
          <s v="Jan"/>
          <s v="Feb"/>
          <s v="Mar"/>
          <s v="Apr"/>
          <s v="May"/>
          <s v="Jun"/>
          <s v="Jul"/>
          <s v="Aug"/>
          <s v="Sep"/>
          <s v="Oct"/>
          <s v="Nov"/>
          <s v="Dec"/>
          <s v="&gt;12/31/2023"/>
        </groupItems>
      </fieldGroup>
    </cacheField>
  </cacheFields>
  <extLst>
    <ext xmlns:x14="http://schemas.microsoft.com/office/spreadsheetml/2009/9/main" uri="{725AE2AE-9491-48be-B2B4-4EB974FC3084}">
      <x14:pivotCacheDefinition pivotCacheId="276603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n v="150.26"/>
    <n v="130"/>
    <n v="0"/>
    <n v="96"/>
    <x v="0"/>
    <n v="751.3"/>
    <n v="650"/>
    <n v="101.29999999999995"/>
    <n v="135.23399999999998"/>
  </r>
  <r>
    <x v="1"/>
    <x v="1"/>
    <x v="1"/>
    <x v="1"/>
    <x v="0"/>
    <x v="0"/>
    <x v="1"/>
    <n v="66.7"/>
    <n v="55.91"/>
    <n v="20"/>
    <n v="13"/>
    <x v="0"/>
    <n v="66.7"/>
    <n v="55.91"/>
    <n v="10.790000000000006"/>
    <n v="12.006"/>
  </r>
  <r>
    <x v="2"/>
    <x v="2"/>
    <x v="0"/>
    <x v="2"/>
    <x v="1"/>
    <x v="1"/>
    <x v="2"/>
    <n v="278.73"/>
    <n v="230.11"/>
    <n v="0"/>
    <n v="107"/>
    <x v="1"/>
    <n v="1114.92"/>
    <n v="920.44"/>
    <n v="194.48000000000002"/>
    <n v="200.68559999999999"/>
  </r>
  <r>
    <x v="3"/>
    <x v="3"/>
    <x v="2"/>
    <x v="3"/>
    <x v="2"/>
    <x v="2"/>
    <x v="3"/>
    <n v="162.32"/>
    <n v="115.5"/>
    <n v="0"/>
    <n v="21"/>
    <x v="2"/>
    <n v="486.96"/>
    <n v="346.5"/>
    <n v="140.45999999999998"/>
    <n v="87.652799999999999"/>
  </r>
  <r>
    <x v="4"/>
    <x v="4"/>
    <x v="3"/>
    <x v="4"/>
    <x v="2"/>
    <x v="2"/>
    <x v="1"/>
    <n v="483.17"/>
    <n v="367.57"/>
    <n v="15"/>
    <n v="20"/>
    <x v="0"/>
    <n v="483.17"/>
    <n v="367.57"/>
    <n v="115.60000000000002"/>
    <n v="86.970600000000005"/>
  </r>
  <r>
    <x v="5"/>
    <x v="5"/>
    <x v="4"/>
    <x v="5"/>
    <x v="3"/>
    <x v="3"/>
    <x v="4"/>
    <n v="117.54"/>
    <n v="104.22"/>
    <n v="5"/>
    <n v="108"/>
    <x v="3"/>
    <n v="1175.4000000000001"/>
    <n v="1042.2"/>
    <n v="133.20000000000005"/>
    <n v="211.572"/>
  </r>
  <r>
    <x v="6"/>
    <x v="6"/>
    <x v="4"/>
    <x v="6"/>
    <x v="4"/>
    <x v="1"/>
    <x v="5"/>
    <n v="198.01"/>
    <n v="146.21"/>
    <n v="10"/>
    <n v="30"/>
    <x v="3"/>
    <n v="1386.07"/>
    <n v="1023.47"/>
    <n v="362.59999999999991"/>
    <n v="249.49259999999998"/>
  </r>
  <r>
    <x v="7"/>
    <x v="7"/>
    <x v="5"/>
    <x v="7"/>
    <x v="4"/>
    <x v="1"/>
    <x v="4"/>
    <n v="421.87"/>
    <n v="321.14"/>
    <n v="5"/>
    <n v="30"/>
    <x v="2"/>
    <n v="4218.7"/>
    <n v="3211.3999999999996"/>
    <n v="1007.3000000000002"/>
    <n v="759.36599999999999"/>
  </r>
  <r>
    <x v="8"/>
    <x v="8"/>
    <x v="3"/>
    <x v="8"/>
    <x v="5"/>
    <x v="4"/>
    <x v="6"/>
    <n v="596.6"/>
    <n v="423"/>
    <n v="5"/>
    <n v="115"/>
    <x v="4"/>
    <n v="3579.6000000000004"/>
    <n v="2538"/>
    <n v="1041.6000000000004"/>
    <n v="644.32800000000009"/>
  </r>
  <r>
    <x v="9"/>
    <x v="9"/>
    <x v="2"/>
    <x v="3"/>
    <x v="4"/>
    <x v="1"/>
    <x v="2"/>
    <n v="606.96"/>
    <n v="457.44"/>
    <n v="10"/>
    <n v="37"/>
    <x v="2"/>
    <n v="2427.84"/>
    <n v="1829.76"/>
    <n v="598.08000000000015"/>
    <n v="437.01120000000003"/>
  </r>
  <r>
    <x v="10"/>
    <x v="10"/>
    <x v="0"/>
    <x v="9"/>
    <x v="6"/>
    <x v="5"/>
    <x v="0"/>
    <n v="109.63"/>
    <n v="78.42"/>
    <n v="20"/>
    <n v="43"/>
    <x v="0"/>
    <n v="548.15"/>
    <n v="392.1"/>
    <n v="156.04999999999995"/>
    <n v="98.666999999999987"/>
  </r>
  <r>
    <x v="11"/>
    <x v="11"/>
    <x v="1"/>
    <x v="1"/>
    <x v="3"/>
    <x v="3"/>
    <x v="2"/>
    <n v="576.15"/>
    <n v="498.69"/>
    <n v="15"/>
    <n v="21"/>
    <x v="4"/>
    <n v="2304.6"/>
    <n v="1994.76"/>
    <n v="309.83999999999992"/>
    <n v="414.82799999999997"/>
  </r>
  <r>
    <x v="12"/>
    <x v="12"/>
    <x v="5"/>
    <x v="10"/>
    <x v="1"/>
    <x v="1"/>
    <x v="4"/>
    <n v="51.52"/>
    <n v="41.13"/>
    <n v="15"/>
    <n v="77"/>
    <x v="3"/>
    <n v="515.20000000000005"/>
    <n v="411.3"/>
    <n v="103.90000000000003"/>
    <n v="92.736000000000004"/>
  </r>
  <r>
    <x v="13"/>
    <x v="13"/>
    <x v="4"/>
    <x v="11"/>
    <x v="4"/>
    <x v="1"/>
    <x v="7"/>
    <n v="531.91"/>
    <n v="377.93"/>
    <n v="10"/>
    <n v="24"/>
    <x v="3"/>
    <n v="4787.1899999999996"/>
    <n v="3401.37"/>
    <n v="1385.8199999999997"/>
    <n v="861.69419999999991"/>
  </r>
  <r>
    <x v="14"/>
    <x v="14"/>
    <x v="5"/>
    <x v="12"/>
    <x v="0"/>
    <x v="0"/>
    <x v="0"/>
    <n v="683.05"/>
    <n v="486.23"/>
    <n v="20"/>
    <n v="23"/>
    <x v="3"/>
    <n v="3415.25"/>
    <n v="2431.15"/>
    <n v="984.09999999999991"/>
    <n v="614.745"/>
  </r>
  <r>
    <x v="15"/>
    <x v="15"/>
    <x v="1"/>
    <x v="13"/>
    <x v="5"/>
    <x v="4"/>
    <x v="3"/>
    <n v="225.03"/>
    <n v="193.22"/>
    <n v="20"/>
    <n v="10"/>
    <x v="0"/>
    <n v="675.09"/>
    <n v="579.66"/>
    <n v="95.430000000000064"/>
    <n v="121.5162"/>
  </r>
  <r>
    <x v="16"/>
    <x v="16"/>
    <x v="2"/>
    <x v="14"/>
    <x v="4"/>
    <x v="1"/>
    <x v="6"/>
    <n v="631.19000000000005"/>
    <n v="440.57"/>
    <n v="10"/>
    <n v="40"/>
    <x v="4"/>
    <n v="3787.1400000000003"/>
    <n v="2643.42"/>
    <n v="1143.7200000000003"/>
    <n v="681.68520000000001"/>
  </r>
  <r>
    <x v="17"/>
    <x v="17"/>
    <x v="1"/>
    <x v="15"/>
    <x v="4"/>
    <x v="1"/>
    <x v="8"/>
    <n v="611.16999999999996"/>
    <n v="409.85"/>
    <n v="20"/>
    <n v="108"/>
    <x v="1"/>
    <n v="4889.3599999999997"/>
    <n v="3278.8"/>
    <n v="1610.5599999999995"/>
    <n v="880.08479999999986"/>
  </r>
  <r>
    <x v="18"/>
    <x v="18"/>
    <x v="0"/>
    <x v="9"/>
    <x v="6"/>
    <x v="5"/>
    <x v="0"/>
    <n v="360.58"/>
    <n v="268.56"/>
    <n v="5"/>
    <n v="79"/>
    <x v="1"/>
    <n v="1802.8999999999999"/>
    <n v="1342.8"/>
    <n v="460.09999999999991"/>
    <n v="324.52199999999999"/>
  </r>
  <r>
    <x v="19"/>
    <x v="19"/>
    <x v="2"/>
    <x v="3"/>
    <x v="7"/>
    <x v="6"/>
    <x v="7"/>
    <n v="277.27999999999997"/>
    <n v="231.23"/>
    <n v="0"/>
    <n v="53"/>
    <x v="4"/>
    <n v="2495.5199999999995"/>
    <n v="2081.0699999999997"/>
    <n v="414.44999999999982"/>
    <n v="449.19359999999989"/>
  </r>
  <r>
    <x v="20"/>
    <x v="20"/>
    <x v="1"/>
    <x v="16"/>
    <x v="5"/>
    <x v="4"/>
    <x v="1"/>
    <n v="60.58"/>
    <n v="44.79"/>
    <n v="5"/>
    <n v="18"/>
    <x v="4"/>
    <n v="60.58"/>
    <n v="44.79"/>
    <n v="15.79"/>
    <n v="10.904399999999999"/>
  </r>
  <r>
    <x v="21"/>
    <x v="21"/>
    <x v="6"/>
    <x v="17"/>
    <x v="5"/>
    <x v="4"/>
    <x v="0"/>
    <n v="400.53"/>
    <n v="337.8"/>
    <n v="5"/>
    <n v="102"/>
    <x v="0"/>
    <n v="2002.6499999999999"/>
    <n v="1689"/>
    <n v="313.64999999999986"/>
    <n v="360.47699999999998"/>
  </r>
  <r>
    <x v="22"/>
    <x v="22"/>
    <x v="2"/>
    <x v="18"/>
    <x v="7"/>
    <x v="6"/>
    <x v="5"/>
    <n v="117.64"/>
    <n v="103.3"/>
    <n v="15"/>
    <n v="55"/>
    <x v="2"/>
    <n v="823.48"/>
    <n v="723.1"/>
    <n v="100.38"/>
    <n v="148.22639999999998"/>
  </r>
  <r>
    <x v="23"/>
    <x v="23"/>
    <x v="2"/>
    <x v="14"/>
    <x v="4"/>
    <x v="1"/>
    <x v="1"/>
    <n v="256.14"/>
    <n v="207.28"/>
    <n v="0"/>
    <n v="41"/>
    <x v="1"/>
    <n v="256.14"/>
    <n v="207.28"/>
    <n v="48.859999999999985"/>
    <n v="46.105199999999996"/>
  </r>
  <r>
    <x v="24"/>
    <x v="24"/>
    <x v="1"/>
    <x v="1"/>
    <x v="6"/>
    <x v="5"/>
    <x v="5"/>
    <n v="128.38999999999999"/>
    <n v="99.91"/>
    <n v="0"/>
    <n v="66"/>
    <x v="0"/>
    <n v="898.7299999999999"/>
    <n v="699.37"/>
    <n v="199.3599999999999"/>
    <n v="161.77139999999997"/>
  </r>
  <r>
    <x v="25"/>
    <x v="25"/>
    <x v="6"/>
    <x v="17"/>
    <x v="0"/>
    <x v="0"/>
    <x v="9"/>
    <n v="667.8"/>
    <n v="463.92"/>
    <n v="5"/>
    <n v="62"/>
    <x v="2"/>
    <n v="1335.6"/>
    <n v="927.84"/>
    <n v="407.75999999999988"/>
    <n v="240.40799999999999"/>
  </r>
  <r>
    <x v="26"/>
    <x v="26"/>
    <x v="5"/>
    <x v="12"/>
    <x v="0"/>
    <x v="0"/>
    <x v="3"/>
    <n v="292.39999999999998"/>
    <n v="195.7"/>
    <n v="10"/>
    <n v="110"/>
    <x v="2"/>
    <n v="877.19999999999993"/>
    <n v="587.09999999999991"/>
    <n v="290.10000000000002"/>
    <n v="157.89599999999999"/>
  </r>
  <r>
    <x v="27"/>
    <x v="27"/>
    <x v="2"/>
    <x v="19"/>
    <x v="7"/>
    <x v="6"/>
    <x v="3"/>
    <n v="122.33"/>
    <n v="103.05"/>
    <n v="0"/>
    <n v="84"/>
    <x v="0"/>
    <n v="366.99"/>
    <n v="309.14999999999998"/>
    <n v="57.840000000000032"/>
    <n v="66.058199999999999"/>
  </r>
  <r>
    <x v="28"/>
    <x v="28"/>
    <x v="0"/>
    <x v="20"/>
    <x v="0"/>
    <x v="0"/>
    <x v="1"/>
    <n v="385.46"/>
    <n v="296.25"/>
    <n v="20"/>
    <n v="30"/>
    <x v="4"/>
    <n v="385.46"/>
    <n v="296.25"/>
    <n v="89.20999999999998"/>
    <n v="69.382799999999989"/>
  </r>
  <r>
    <x v="29"/>
    <x v="29"/>
    <x v="6"/>
    <x v="21"/>
    <x v="4"/>
    <x v="1"/>
    <x v="4"/>
    <n v="62.56"/>
    <n v="43.3"/>
    <n v="15"/>
    <n v="25"/>
    <x v="0"/>
    <n v="625.6"/>
    <n v="433"/>
    <n v="192.60000000000002"/>
    <n v="112.608"/>
  </r>
  <r>
    <x v="30"/>
    <x v="30"/>
    <x v="1"/>
    <x v="13"/>
    <x v="0"/>
    <x v="0"/>
    <x v="4"/>
    <n v="68.38"/>
    <n v="50.17"/>
    <n v="20"/>
    <n v="76"/>
    <x v="3"/>
    <n v="683.8"/>
    <n v="501.70000000000005"/>
    <n v="182.09999999999991"/>
    <n v="123.08399999999999"/>
  </r>
  <r>
    <x v="31"/>
    <x v="31"/>
    <x v="5"/>
    <x v="7"/>
    <x v="5"/>
    <x v="4"/>
    <x v="0"/>
    <n v="279.13"/>
    <n v="203.94"/>
    <n v="10"/>
    <n v="68"/>
    <x v="3"/>
    <n v="1395.65"/>
    <n v="1019.7"/>
    <n v="375.95000000000005"/>
    <n v="251.21700000000001"/>
  </r>
  <r>
    <x v="32"/>
    <x v="32"/>
    <x v="6"/>
    <x v="22"/>
    <x v="4"/>
    <x v="1"/>
    <x v="9"/>
    <n v="356.12"/>
    <n v="273.44"/>
    <n v="5"/>
    <n v="54"/>
    <x v="4"/>
    <n v="712.24"/>
    <n v="546.88"/>
    <n v="165.36"/>
    <n v="128.20320000000001"/>
  </r>
  <r>
    <x v="33"/>
    <x v="33"/>
    <x v="3"/>
    <x v="4"/>
    <x v="6"/>
    <x v="5"/>
    <x v="8"/>
    <n v="578.17999999999995"/>
    <n v="418.54"/>
    <n v="20"/>
    <n v="113"/>
    <x v="0"/>
    <n v="4625.4399999999996"/>
    <n v="3348.32"/>
    <n v="1277.1199999999994"/>
    <n v="832.5791999999999"/>
  </r>
  <r>
    <x v="34"/>
    <x v="34"/>
    <x v="0"/>
    <x v="2"/>
    <x v="2"/>
    <x v="2"/>
    <x v="9"/>
    <n v="542.34"/>
    <n v="470.08"/>
    <n v="0"/>
    <n v="23"/>
    <x v="0"/>
    <n v="1084.68"/>
    <n v="940.16"/>
    <n v="144.5200000000001"/>
    <n v="195.2424"/>
  </r>
  <r>
    <x v="35"/>
    <x v="35"/>
    <x v="3"/>
    <x v="4"/>
    <x v="5"/>
    <x v="4"/>
    <x v="6"/>
    <n v="148.58000000000001"/>
    <n v="109.76"/>
    <n v="10"/>
    <n v="74"/>
    <x v="2"/>
    <n v="891.48"/>
    <n v="658.56000000000006"/>
    <n v="232.91999999999996"/>
    <n v="160.46639999999999"/>
  </r>
  <r>
    <x v="36"/>
    <x v="36"/>
    <x v="4"/>
    <x v="11"/>
    <x v="4"/>
    <x v="1"/>
    <x v="5"/>
    <n v="465.36"/>
    <n v="416.38"/>
    <n v="10"/>
    <n v="108"/>
    <x v="1"/>
    <n v="3257.52"/>
    <n v="2914.66"/>
    <n v="342.86000000000013"/>
    <n v="586.35360000000003"/>
  </r>
  <r>
    <x v="37"/>
    <x v="37"/>
    <x v="3"/>
    <x v="23"/>
    <x v="7"/>
    <x v="6"/>
    <x v="7"/>
    <n v="471.18"/>
    <n v="355.78"/>
    <n v="0"/>
    <n v="19"/>
    <x v="1"/>
    <n v="4240.62"/>
    <n v="3202.0199999999995"/>
    <n v="1038.6000000000004"/>
    <n v="763.3116"/>
  </r>
  <r>
    <x v="38"/>
    <x v="38"/>
    <x v="6"/>
    <x v="24"/>
    <x v="6"/>
    <x v="5"/>
    <x v="5"/>
    <n v="88.63"/>
    <n v="72.45"/>
    <n v="0"/>
    <n v="55"/>
    <x v="1"/>
    <n v="620.41"/>
    <n v="507.15000000000003"/>
    <n v="113.25999999999993"/>
    <n v="111.67379999999999"/>
  </r>
  <r>
    <x v="39"/>
    <x v="39"/>
    <x v="5"/>
    <x v="25"/>
    <x v="3"/>
    <x v="3"/>
    <x v="7"/>
    <n v="559.6"/>
    <n v="443.23"/>
    <n v="20"/>
    <n v="105"/>
    <x v="1"/>
    <n v="5036.4000000000005"/>
    <n v="3989.07"/>
    <n v="1047.3300000000004"/>
    <n v="906.55200000000002"/>
  </r>
  <r>
    <x v="40"/>
    <x v="40"/>
    <x v="4"/>
    <x v="6"/>
    <x v="6"/>
    <x v="5"/>
    <x v="5"/>
    <n v="30.89"/>
    <n v="22.15"/>
    <n v="10"/>
    <n v="110"/>
    <x v="2"/>
    <n v="216.23000000000002"/>
    <n v="155.04999999999998"/>
    <n v="61.180000000000035"/>
    <n v="38.921399999999998"/>
  </r>
  <r>
    <x v="41"/>
    <x v="41"/>
    <x v="4"/>
    <x v="6"/>
    <x v="2"/>
    <x v="2"/>
    <x v="3"/>
    <n v="452.51"/>
    <n v="395.81"/>
    <n v="0"/>
    <n v="119"/>
    <x v="2"/>
    <n v="1357.53"/>
    <n v="1187.43"/>
    <n v="170.09999999999991"/>
    <n v="244.35539999999997"/>
  </r>
  <r>
    <x v="42"/>
    <x v="42"/>
    <x v="5"/>
    <x v="12"/>
    <x v="3"/>
    <x v="3"/>
    <x v="0"/>
    <n v="596.88"/>
    <n v="412.06"/>
    <n v="5"/>
    <n v="13"/>
    <x v="1"/>
    <n v="2984.4"/>
    <n v="2060.3000000000002"/>
    <n v="924.09999999999991"/>
    <n v="537.19200000000001"/>
  </r>
  <r>
    <x v="43"/>
    <x v="43"/>
    <x v="3"/>
    <x v="4"/>
    <x v="4"/>
    <x v="1"/>
    <x v="0"/>
    <n v="237.36"/>
    <n v="182.06"/>
    <n v="20"/>
    <n v="52"/>
    <x v="4"/>
    <n v="1186.8000000000002"/>
    <n v="910.3"/>
    <n v="276.50000000000023"/>
    <n v="213.62400000000002"/>
  </r>
  <r>
    <x v="44"/>
    <x v="44"/>
    <x v="3"/>
    <x v="23"/>
    <x v="2"/>
    <x v="2"/>
    <x v="1"/>
    <n v="80.400000000000006"/>
    <n v="63.12"/>
    <n v="10"/>
    <n v="65"/>
    <x v="0"/>
    <n v="80.400000000000006"/>
    <n v="63.12"/>
    <n v="17.280000000000008"/>
    <n v="14.472000000000001"/>
  </r>
  <r>
    <x v="45"/>
    <x v="45"/>
    <x v="6"/>
    <x v="22"/>
    <x v="5"/>
    <x v="4"/>
    <x v="0"/>
    <n v="40.46"/>
    <n v="31.75"/>
    <n v="20"/>
    <n v="113"/>
    <x v="0"/>
    <n v="202.3"/>
    <n v="158.75"/>
    <n v="43.550000000000011"/>
    <n v="36.414000000000001"/>
  </r>
  <r>
    <x v="46"/>
    <x v="46"/>
    <x v="0"/>
    <x v="26"/>
    <x v="3"/>
    <x v="3"/>
    <x v="5"/>
    <n v="60.49"/>
    <n v="44.29"/>
    <n v="10"/>
    <n v="89"/>
    <x v="3"/>
    <n v="423.43"/>
    <n v="310.02999999999997"/>
    <n v="113.40000000000003"/>
    <n v="76.217399999999998"/>
  </r>
  <r>
    <x v="47"/>
    <x v="12"/>
    <x v="4"/>
    <x v="11"/>
    <x v="2"/>
    <x v="2"/>
    <x v="7"/>
    <n v="204.1"/>
    <n v="161.55000000000001"/>
    <n v="15"/>
    <n v="99"/>
    <x v="3"/>
    <n v="1836.8999999999999"/>
    <n v="1453.95"/>
    <n v="382.94999999999982"/>
    <n v="330.64199999999994"/>
  </r>
  <r>
    <x v="48"/>
    <x v="47"/>
    <x v="5"/>
    <x v="10"/>
    <x v="1"/>
    <x v="1"/>
    <x v="5"/>
    <n v="499.54"/>
    <n v="341.89"/>
    <n v="20"/>
    <n v="82"/>
    <x v="3"/>
    <n v="3496.78"/>
    <n v="2393.23"/>
    <n v="1103.5500000000002"/>
    <n v="629.42039999999997"/>
  </r>
  <r>
    <x v="49"/>
    <x v="48"/>
    <x v="1"/>
    <x v="15"/>
    <x v="2"/>
    <x v="2"/>
    <x v="0"/>
    <n v="159.80000000000001"/>
    <n v="112.99"/>
    <n v="20"/>
    <n v="93"/>
    <x v="3"/>
    <n v="799"/>
    <n v="564.94999999999993"/>
    <n v="234.05000000000007"/>
    <n v="143.82"/>
  </r>
  <r>
    <x v="50"/>
    <x v="49"/>
    <x v="2"/>
    <x v="27"/>
    <x v="5"/>
    <x v="4"/>
    <x v="7"/>
    <n v="353.23"/>
    <n v="241.86"/>
    <n v="5"/>
    <n v="94"/>
    <x v="4"/>
    <n v="3179.07"/>
    <n v="2176.7400000000002"/>
    <n v="1002.3299999999999"/>
    <n v="572.23260000000005"/>
  </r>
  <r>
    <x v="51"/>
    <x v="50"/>
    <x v="1"/>
    <x v="13"/>
    <x v="3"/>
    <x v="3"/>
    <x v="9"/>
    <n v="575.63"/>
    <n v="411.03"/>
    <n v="10"/>
    <n v="38"/>
    <x v="1"/>
    <n v="1151.26"/>
    <n v="822.06"/>
    <n v="329.20000000000005"/>
    <n v="207.2268"/>
  </r>
  <r>
    <x v="52"/>
    <x v="51"/>
    <x v="6"/>
    <x v="28"/>
    <x v="5"/>
    <x v="4"/>
    <x v="8"/>
    <n v="435.62"/>
    <n v="309.52"/>
    <n v="15"/>
    <n v="63"/>
    <x v="0"/>
    <n v="3484.96"/>
    <n v="2476.16"/>
    <n v="1008.8000000000002"/>
    <n v="627.29279999999994"/>
  </r>
  <r>
    <x v="53"/>
    <x v="52"/>
    <x v="0"/>
    <x v="9"/>
    <x v="7"/>
    <x v="6"/>
    <x v="5"/>
    <n v="176.5"/>
    <n v="129.55000000000001"/>
    <n v="0"/>
    <n v="106"/>
    <x v="4"/>
    <n v="1235.5"/>
    <n v="906.85000000000014"/>
    <n v="328.64999999999986"/>
    <n v="222.39"/>
  </r>
  <r>
    <x v="54"/>
    <x v="53"/>
    <x v="5"/>
    <x v="10"/>
    <x v="7"/>
    <x v="6"/>
    <x v="1"/>
    <n v="415.35"/>
    <n v="283.13"/>
    <n v="0"/>
    <n v="68"/>
    <x v="1"/>
    <n v="415.35"/>
    <n v="283.13"/>
    <n v="132.22000000000003"/>
    <n v="74.763000000000005"/>
  </r>
  <r>
    <x v="55"/>
    <x v="54"/>
    <x v="0"/>
    <x v="2"/>
    <x v="3"/>
    <x v="3"/>
    <x v="8"/>
    <n v="430.47"/>
    <n v="310.2"/>
    <n v="20"/>
    <n v="64"/>
    <x v="0"/>
    <n v="3443.76"/>
    <n v="2481.6"/>
    <n v="962.16000000000031"/>
    <n v="619.8768"/>
  </r>
  <r>
    <x v="56"/>
    <x v="55"/>
    <x v="5"/>
    <x v="12"/>
    <x v="7"/>
    <x v="6"/>
    <x v="0"/>
    <n v="543.32000000000005"/>
    <n v="378.37"/>
    <n v="10"/>
    <n v="108"/>
    <x v="0"/>
    <n v="2716.6000000000004"/>
    <n v="1891.85"/>
    <n v="824.75000000000045"/>
    <n v="488.98800000000006"/>
  </r>
  <r>
    <x v="57"/>
    <x v="56"/>
    <x v="0"/>
    <x v="26"/>
    <x v="2"/>
    <x v="2"/>
    <x v="8"/>
    <n v="58.25"/>
    <n v="47.97"/>
    <n v="10"/>
    <n v="52"/>
    <x v="3"/>
    <n v="466"/>
    <n v="383.76"/>
    <n v="82.240000000000009"/>
    <n v="83.88"/>
  </r>
  <r>
    <x v="58"/>
    <x v="57"/>
    <x v="6"/>
    <x v="21"/>
    <x v="6"/>
    <x v="5"/>
    <x v="2"/>
    <n v="229.54"/>
    <n v="197.69"/>
    <n v="5"/>
    <n v="18"/>
    <x v="2"/>
    <n v="918.16"/>
    <n v="790.76"/>
    <n v="127.39999999999998"/>
    <n v="165.2688"/>
  </r>
  <r>
    <x v="59"/>
    <x v="58"/>
    <x v="3"/>
    <x v="8"/>
    <x v="7"/>
    <x v="6"/>
    <x v="5"/>
    <n v="58.06"/>
    <n v="40.51"/>
    <n v="15"/>
    <n v="108"/>
    <x v="0"/>
    <n v="406.42"/>
    <n v="283.57"/>
    <n v="122.85000000000002"/>
    <n v="73.155600000000007"/>
  </r>
  <r>
    <x v="60"/>
    <x v="59"/>
    <x v="6"/>
    <x v="17"/>
    <x v="1"/>
    <x v="1"/>
    <x v="8"/>
    <n v="15.99"/>
    <n v="12.89"/>
    <n v="15"/>
    <n v="119"/>
    <x v="2"/>
    <n v="127.92"/>
    <n v="103.12"/>
    <n v="24.799999999999997"/>
    <n v="23.025600000000001"/>
  </r>
  <r>
    <x v="61"/>
    <x v="40"/>
    <x v="0"/>
    <x v="2"/>
    <x v="5"/>
    <x v="4"/>
    <x v="8"/>
    <n v="149.76"/>
    <n v="117.52"/>
    <n v="0"/>
    <n v="59"/>
    <x v="3"/>
    <n v="1198.08"/>
    <n v="940.16"/>
    <n v="257.91999999999996"/>
    <n v="215.65439999999998"/>
  </r>
  <r>
    <x v="62"/>
    <x v="60"/>
    <x v="0"/>
    <x v="9"/>
    <x v="6"/>
    <x v="5"/>
    <x v="8"/>
    <n v="687.32"/>
    <n v="460.58"/>
    <n v="20"/>
    <n v="13"/>
    <x v="2"/>
    <n v="5498.56"/>
    <n v="3684.64"/>
    <n v="1813.9200000000005"/>
    <n v="989.74080000000004"/>
  </r>
  <r>
    <x v="63"/>
    <x v="61"/>
    <x v="1"/>
    <x v="15"/>
    <x v="4"/>
    <x v="1"/>
    <x v="5"/>
    <n v="98.27"/>
    <n v="76.489999999999995"/>
    <n v="0"/>
    <n v="43"/>
    <x v="2"/>
    <n v="687.89"/>
    <n v="535.42999999999995"/>
    <n v="152.46000000000004"/>
    <n v="123.8202"/>
  </r>
  <r>
    <x v="64"/>
    <x v="62"/>
    <x v="5"/>
    <x v="12"/>
    <x v="3"/>
    <x v="3"/>
    <x v="6"/>
    <n v="479.38"/>
    <n v="383"/>
    <n v="15"/>
    <n v="42"/>
    <x v="4"/>
    <n v="2876.2799999999997"/>
    <n v="2298"/>
    <n v="578.27999999999975"/>
    <n v="517.73039999999992"/>
  </r>
  <r>
    <x v="65"/>
    <x v="29"/>
    <x v="6"/>
    <x v="17"/>
    <x v="0"/>
    <x v="0"/>
    <x v="6"/>
    <n v="135.15"/>
    <n v="119.87"/>
    <n v="0"/>
    <n v="106"/>
    <x v="4"/>
    <n v="810.90000000000009"/>
    <n v="719.22"/>
    <n v="91.680000000000064"/>
    <n v="145.96200000000002"/>
  </r>
  <r>
    <x v="66"/>
    <x v="63"/>
    <x v="5"/>
    <x v="25"/>
    <x v="6"/>
    <x v="5"/>
    <x v="2"/>
    <n v="98.28"/>
    <n v="71.849999999999994"/>
    <n v="20"/>
    <n v="37"/>
    <x v="2"/>
    <n v="393.12"/>
    <n v="287.39999999999998"/>
    <n v="105.72000000000003"/>
    <n v="70.761600000000001"/>
  </r>
  <r>
    <x v="67"/>
    <x v="18"/>
    <x v="3"/>
    <x v="4"/>
    <x v="6"/>
    <x v="5"/>
    <x v="4"/>
    <n v="430.31"/>
    <n v="307.55"/>
    <n v="0"/>
    <n v="109"/>
    <x v="1"/>
    <n v="4303.1000000000004"/>
    <n v="3075.5"/>
    <n v="1227.6000000000004"/>
    <n v="774.55799999999999"/>
  </r>
  <r>
    <x v="68"/>
    <x v="64"/>
    <x v="6"/>
    <x v="17"/>
    <x v="0"/>
    <x v="0"/>
    <x v="0"/>
    <n v="427.46"/>
    <n v="292.14"/>
    <n v="15"/>
    <n v="60"/>
    <x v="1"/>
    <n v="2137.2999999999997"/>
    <n v="1460.6999999999998"/>
    <n v="676.59999999999991"/>
    <n v="384.71399999999994"/>
  </r>
  <r>
    <x v="69"/>
    <x v="65"/>
    <x v="1"/>
    <x v="16"/>
    <x v="4"/>
    <x v="1"/>
    <x v="0"/>
    <n v="571.77"/>
    <n v="426.64"/>
    <n v="0"/>
    <n v="111"/>
    <x v="0"/>
    <n v="2858.85"/>
    <n v="2133.1999999999998"/>
    <n v="725.65000000000009"/>
    <n v="514.59299999999996"/>
  </r>
  <r>
    <x v="70"/>
    <x v="66"/>
    <x v="3"/>
    <x v="8"/>
    <x v="1"/>
    <x v="1"/>
    <x v="6"/>
    <n v="59.51"/>
    <n v="43.79"/>
    <n v="0"/>
    <n v="118"/>
    <x v="2"/>
    <n v="357.06"/>
    <n v="262.74"/>
    <n v="94.32"/>
    <n v="64.270799999999994"/>
  </r>
  <r>
    <x v="71"/>
    <x v="67"/>
    <x v="6"/>
    <x v="22"/>
    <x v="3"/>
    <x v="3"/>
    <x v="8"/>
    <n v="454.35"/>
    <n v="356.58"/>
    <n v="20"/>
    <n v="93"/>
    <x v="3"/>
    <n v="3634.8"/>
    <n v="2852.64"/>
    <n v="782.16000000000031"/>
    <n v="654.26400000000001"/>
  </r>
  <r>
    <x v="72"/>
    <x v="0"/>
    <x v="4"/>
    <x v="5"/>
    <x v="7"/>
    <x v="6"/>
    <x v="8"/>
    <n v="311.11"/>
    <n v="223.43"/>
    <n v="10"/>
    <n v="51"/>
    <x v="1"/>
    <n v="2488.88"/>
    <n v="1787.44"/>
    <n v="701.44"/>
    <n v="447.9984"/>
  </r>
  <r>
    <x v="73"/>
    <x v="68"/>
    <x v="3"/>
    <x v="29"/>
    <x v="5"/>
    <x v="4"/>
    <x v="8"/>
    <n v="395.46"/>
    <n v="289.23"/>
    <n v="10"/>
    <n v="13"/>
    <x v="2"/>
    <n v="3163.68"/>
    <n v="2313.84"/>
    <n v="849.83999999999969"/>
    <n v="569.4624"/>
  </r>
  <r>
    <x v="74"/>
    <x v="69"/>
    <x v="5"/>
    <x v="12"/>
    <x v="5"/>
    <x v="4"/>
    <x v="6"/>
    <n v="495.62"/>
    <n v="400.94"/>
    <n v="20"/>
    <n v="99"/>
    <x v="3"/>
    <n v="2973.7200000000003"/>
    <n v="2405.64"/>
    <n v="568.08000000000038"/>
    <n v="535.26960000000008"/>
  </r>
  <r>
    <x v="75"/>
    <x v="70"/>
    <x v="6"/>
    <x v="17"/>
    <x v="5"/>
    <x v="4"/>
    <x v="9"/>
    <n v="161.94"/>
    <n v="128.26"/>
    <n v="20"/>
    <n v="107"/>
    <x v="1"/>
    <n v="323.88"/>
    <n v="256.52"/>
    <n v="67.360000000000014"/>
    <n v="58.298399999999994"/>
  </r>
  <r>
    <x v="76"/>
    <x v="71"/>
    <x v="2"/>
    <x v="27"/>
    <x v="7"/>
    <x v="6"/>
    <x v="1"/>
    <n v="66.09"/>
    <n v="55.6"/>
    <n v="5"/>
    <n v="49"/>
    <x v="0"/>
    <n v="66.09"/>
    <n v="55.6"/>
    <n v="10.490000000000002"/>
    <n v="11.8962"/>
  </r>
  <r>
    <x v="77"/>
    <x v="72"/>
    <x v="2"/>
    <x v="19"/>
    <x v="3"/>
    <x v="3"/>
    <x v="5"/>
    <n v="657.9"/>
    <n v="498.35"/>
    <n v="10"/>
    <n v="99"/>
    <x v="2"/>
    <n v="4605.3"/>
    <n v="3488.4500000000003"/>
    <n v="1116.8499999999999"/>
    <n v="828.95399999999995"/>
  </r>
  <r>
    <x v="78"/>
    <x v="73"/>
    <x v="3"/>
    <x v="4"/>
    <x v="5"/>
    <x v="4"/>
    <x v="9"/>
    <n v="445.64"/>
    <n v="363.43"/>
    <n v="20"/>
    <n v="107"/>
    <x v="1"/>
    <n v="891.28"/>
    <n v="726.86"/>
    <n v="164.41999999999996"/>
    <n v="160.43039999999999"/>
  </r>
  <r>
    <x v="79"/>
    <x v="74"/>
    <x v="5"/>
    <x v="12"/>
    <x v="2"/>
    <x v="2"/>
    <x v="4"/>
    <n v="639.91999999999996"/>
    <n v="488.54"/>
    <n v="10"/>
    <n v="22"/>
    <x v="1"/>
    <n v="6399.2"/>
    <n v="4885.4000000000005"/>
    <n v="1513.7999999999993"/>
    <n v="1151.856"/>
  </r>
  <r>
    <x v="80"/>
    <x v="12"/>
    <x v="5"/>
    <x v="7"/>
    <x v="6"/>
    <x v="5"/>
    <x v="0"/>
    <n v="22.24"/>
    <n v="16.93"/>
    <n v="10"/>
    <n v="15"/>
    <x v="4"/>
    <n v="111.19999999999999"/>
    <n v="84.65"/>
    <n v="26.549999999999983"/>
    <n v="20.015999999999998"/>
  </r>
  <r>
    <x v="81"/>
    <x v="75"/>
    <x v="3"/>
    <x v="23"/>
    <x v="7"/>
    <x v="6"/>
    <x v="9"/>
    <n v="581.88"/>
    <n v="437.63"/>
    <n v="15"/>
    <n v="71"/>
    <x v="2"/>
    <n v="1163.76"/>
    <n v="875.26"/>
    <n v="288.5"/>
    <n v="209.4768"/>
  </r>
  <r>
    <x v="82"/>
    <x v="76"/>
    <x v="5"/>
    <x v="25"/>
    <x v="2"/>
    <x v="2"/>
    <x v="8"/>
    <n v="74.209999999999994"/>
    <n v="65.900000000000006"/>
    <n v="15"/>
    <n v="19"/>
    <x v="0"/>
    <n v="593.67999999999995"/>
    <n v="527.20000000000005"/>
    <n v="66.479999999999905"/>
    <n v="106.86239999999999"/>
  </r>
  <r>
    <x v="83"/>
    <x v="77"/>
    <x v="0"/>
    <x v="0"/>
    <x v="6"/>
    <x v="5"/>
    <x v="3"/>
    <n v="602.9"/>
    <n v="407.46"/>
    <n v="0"/>
    <n v="41"/>
    <x v="4"/>
    <n v="1808.6999999999998"/>
    <n v="1222.3799999999999"/>
    <n v="586.31999999999994"/>
    <n v="325.56599999999997"/>
  </r>
  <r>
    <x v="84"/>
    <x v="10"/>
    <x v="4"/>
    <x v="30"/>
    <x v="5"/>
    <x v="4"/>
    <x v="7"/>
    <n v="287.39999999999998"/>
    <n v="196.39"/>
    <n v="10"/>
    <n v="120"/>
    <x v="0"/>
    <n v="2586.6"/>
    <n v="1767.5099999999998"/>
    <n v="819.09000000000015"/>
    <n v="465.58799999999997"/>
  </r>
  <r>
    <x v="85"/>
    <x v="78"/>
    <x v="3"/>
    <x v="8"/>
    <x v="0"/>
    <x v="0"/>
    <x v="4"/>
    <n v="547.57000000000005"/>
    <n v="480.45"/>
    <n v="5"/>
    <n v="90"/>
    <x v="1"/>
    <n v="5475.7000000000007"/>
    <n v="4804.5"/>
    <n v="671.20000000000073"/>
    <n v="985.62600000000009"/>
  </r>
  <r>
    <x v="86"/>
    <x v="79"/>
    <x v="0"/>
    <x v="0"/>
    <x v="6"/>
    <x v="5"/>
    <x v="2"/>
    <n v="107.54"/>
    <n v="95.17"/>
    <n v="0"/>
    <n v="62"/>
    <x v="2"/>
    <n v="430.16"/>
    <n v="380.68"/>
    <n v="49.480000000000018"/>
    <n v="77.428799999999995"/>
  </r>
  <r>
    <x v="87"/>
    <x v="78"/>
    <x v="1"/>
    <x v="1"/>
    <x v="2"/>
    <x v="2"/>
    <x v="1"/>
    <n v="170.66"/>
    <n v="123.42"/>
    <n v="15"/>
    <n v="19"/>
    <x v="1"/>
    <n v="170.66"/>
    <n v="123.42"/>
    <n v="47.239999999999995"/>
    <n v="30.718799999999998"/>
  </r>
  <r>
    <x v="88"/>
    <x v="80"/>
    <x v="4"/>
    <x v="5"/>
    <x v="5"/>
    <x v="4"/>
    <x v="5"/>
    <n v="78.819999999999993"/>
    <n v="66.239999999999995"/>
    <n v="5"/>
    <n v="44"/>
    <x v="1"/>
    <n v="551.74"/>
    <n v="463.67999999999995"/>
    <n v="88.060000000000059"/>
    <n v="99.313199999999995"/>
  </r>
  <r>
    <x v="89"/>
    <x v="81"/>
    <x v="6"/>
    <x v="21"/>
    <x v="2"/>
    <x v="2"/>
    <x v="4"/>
    <n v="500.52"/>
    <n v="376.99"/>
    <n v="10"/>
    <n v="66"/>
    <x v="4"/>
    <n v="5005.2"/>
    <n v="3769.9"/>
    <n v="1235.2999999999997"/>
    <n v="900.93599999999992"/>
  </r>
  <r>
    <x v="90"/>
    <x v="82"/>
    <x v="0"/>
    <x v="20"/>
    <x v="1"/>
    <x v="1"/>
    <x v="0"/>
    <n v="331.17"/>
    <n v="255.23"/>
    <n v="0"/>
    <n v="86"/>
    <x v="4"/>
    <n v="1655.8500000000001"/>
    <n v="1276.1499999999999"/>
    <n v="379.70000000000027"/>
    <n v="298.053"/>
  </r>
  <r>
    <x v="91"/>
    <x v="83"/>
    <x v="0"/>
    <x v="20"/>
    <x v="2"/>
    <x v="2"/>
    <x v="1"/>
    <n v="81.290000000000006"/>
    <n v="54.75"/>
    <n v="20"/>
    <n v="85"/>
    <x v="4"/>
    <n v="81.290000000000006"/>
    <n v="54.75"/>
    <n v="26.540000000000006"/>
    <n v="14.632200000000001"/>
  </r>
  <r>
    <x v="92"/>
    <x v="84"/>
    <x v="4"/>
    <x v="31"/>
    <x v="0"/>
    <x v="0"/>
    <x v="3"/>
    <n v="327.29000000000002"/>
    <n v="240.55"/>
    <n v="10"/>
    <n v="33"/>
    <x v="0"/>
    <n v="981.87000000000012"/>
    <n v="721.65000000000009"/>
    <n v="260.22000000000003"/>
    <n v="176.73660000000001"/>
  </r>
  <r>
    <x v="93"/>
    <x v="85"/>
    <x v="0"/>
    <x v="9"/>
    <x v="4"/>
    <x v="1"/>
    <x v="8"/>
    <n v="222.61"/>
    <n v="180.5"/>
    <n v="0"/>
    <n v="119"/>
    <x v="1"/>
    <n v="1780.88"/>
    <n v="1444"/>
    <n v="336.88000000000011"/>
    <n v="320.55840000000001"/>
  </r>
  <r>
    <x v="94"/>
    <x v="86"/>
    <x v="2"/>
    <x v="27"/>
    <x v="2"/>
    <x v="2"/>
    <x v="5"/>
    <n v="539.42999999999995"/>
    <n v="408.65"/>
    <n v="15"/>
    <n v="21"/>
    <x v="3"/>
    <n v="3776.0099999999998"/>
    <n v="2860.5499999999997"/>
    <n v="915.46"/>
    <n v="679.68179999999995"/>
  </r>
  <r>
    <x v="95"/>
    <x v="87"/>
    <x v="3"/>
    <x v="32"/>
    <x v="1"/>
    <x v="1"/>
    <x v="7"/>
    <n v="455.82"/>
    <n v="414.21"/>
    <n v="20"/>
    <n v="69"/>
    <x v="2"/>
    <n v="4102.38"/>
    <n v="3727.89"/>
    <n v="374.49000000000024"/>
    <n v="738.42840000000001"/>
  </r>
  <r>
    <x v="96"/>
    <x v="88"/>
    <x v="5"/>
    <x v="33"/>
    <x v="3"/>
    <x v="3"/>
    <x v="4"/>
    <n v="513.95000000000005"/>
    <n v="380.66"/>
    <n v="0"/>
    <n v="36"/>
    <x v="3"/>
    <n v="5139.5"/>
    <n v="3806.6000000000004"/>
    <n v="1332.8999999999996"/>
    <n v="925.11"/>
  </r>
  <r>
    <x v="97"/>
    <x v="89"/>
    <x v="5"/>
    <x v="7"/>
    <x v="7"/>
    <x v="6"/>
    <x v="8"/>
    <n v="103.5"/>
    <n v="69.5"/>
    <n v="20"/>
    <n v="112"/>
    <x v="1"/>
    <n v="828"/>
    <n v="556"/>
    <n v="272"/>
    <n v="149.04"/>
  </r>
  <r>
    <x v="98"/>
    <x v="90"/>
    <x v="5"/>
    <x v="7"/>
    <x v="0"/>
    <x v="0"/>
    <x v="7"/>
    <n v="249.78"/>
    <n v="209.92"/>
    <n v="0"/>
    <n v="69"/>
    <x v="4"/>
    <n v="2248.02"/>
    <n v="1889.28"/>
    <n v="358.74"/>
    <n v="404.64359999999999"/>
  </r>
  <r>
    <x v="99"/>
    <x v="91"/>
    <x v="4"/>
    <x v="6"/>
    <x v="7"/>
    <x v="6"/>
    <x v="0"/>
    <n v="313.64999999999998"/>
    <n v="259.35000000000002"/>
    <n v="15"/>
    <n v="70"/>
    <x v="1"/>
    <n v="1568.25"/>
    <n v="1296.75"/>
    <n v="271.5"/>
    <n v="282.28499999999997"/>
  </r>
  <r>
    <x v="100"/>
    <x v="92"/>
    <x v="1"/>
    <x v="16"/>
    <x v="1"/>
    <x v="1"/>
    <x v="2"/>
    <n v="601.76"/>
    <n v="461.72"/>
    <n v="5"/>
    <n v="120"/>
    <x v="4"/>
    <n v="2407.04"/>
    <n v="1846.88"/>
    <n v="560.15999999999985"/>
    <n v="433.2672"/>
  </r>
  <r>
    <x v="101"/>
    <x v="93"/>
    <x v="4"/>
    <x v="30"/>
    <x v="3"/>
    <x v="3"/>
    <x v="7"/>
    <n v="155.15"/>
    <n v="140.91"/>
    <n v="10"/>
    <n v="117"/>
    <x v="0"/>
    <n v="1396.3500000000001"/>
    <n v="1268.19"/>
    <n v="128.16000000000008"/>
    <n v="251.34300000000002"/>
  </r>
  <r>
    <x v="102"/>
    <x v="94"/>
    <x v="0"/>
    <x v="9"/>
    <x v="6"/>
    <x v="5"/>
    <x v="8"/>
    <n v="339.1"/>
    <n v="273.89999999999998"/>
    <n v="20"/>
    <n v="107"/>
    <x v="0"/>
    <n v="2712.8"/>
    <n v="2191.1999999999998"/>
    <n v="521.60000000000036"/>
    <n v="488.30400000000003"/>
  </r>
  <r>
    <x v="103"/>
    <x v="95"/>
    <x v="2"/>
    <x v="3"/>
    <x v="5"/>
    <x v="4"/>
    <x v="2"/>
    <n v="346.31"/>
    <n v="290.18"/>
    <n v="15"/>
    <n v="15"/>
    <x v="3"/>
    <n v="1385.24"/>
    <n v="1160.72"/>
    <n v="224.51999999999998"/>
    <n v="249.3432"/>
  </r>
  <r>
    <x v="104"/>
    <x v="96"/>
    <x v="0"/>
    <x v="9"/>
    <x v="1"/>
    <x v="1"/>
    <x v="3"/>
    <n v="281.72000000000003"/>
    <n v="252.71"/>
    <n v="20"/>
    <n v="85"/>
    <x v="3"/>
    <n v="845.16000000000008"/>
    <n v="758.13"/>
    <n v="87.030000000000086"/>
    <n v="152.12880000000001"/>
  </r>
  <r>
    <x v="105"/>
    <x v="64"/>
    <x v="4"/>
    <x v="30"/>
    <x v="4"/>
    <x v="1"/>
    <x v="7"/>
    <n v="504.53"/>
    <n v="456.12"/>
    <n v="5"/>
    <n v="62"/>
    <x v="1"/>
    <n v="4540.7699999999995"/>
    <n v="4105.08"/>
    <n v="435.6899999999996"/>
    <n v="817.33859999999993"/>
  </r>
  <r>
    <x v="106"/>
    <x v="7"/>
    <x v="2"/>
    <x v="3"/>
    <x v="3"/>
    <x v="3"/>
    <x v="4"/>
    <n v="475.2"/>
    <n v="349.43"/>
    <n v="10"/>
    <n v="119"/>
    <x v="0"/>
    <n v="4752"/>
    <n v="3494.3"/>
    <n v="1257.6999999999998"/>
    <n v="855.36"/>
  </r>
  <r>
    <x v="107"/>
    <x v="13"/>
    <x v="3"/>
    <x v="29"/>
    <x v="0"/>
    <x v="0"/>
    <x v="4"/>
    <n v="58.87"/>
    <n v="43.53"/>
    <n v="10"/>
    <n v="39"/>
    <x v="4"/>
    <n v="588.69999999999993"/>
    <n v="435.3"/>
    <n v="153.39999999999992"/>
    <n v="105.96599999999998"/>
  </r>
  <r>
    <x v="108"/>
    <x v="4"/>
    <x v="6"/>
    <x v="28"/>
    <x v="7"/>
    <x v="6"/>
    <x v="3"/>
    <n v="511.57"/>
    <n v="350.06"/>
    <n v="0"/>
    <n v="51"/>
    <x v="4"/>
    <n v="1534.71"/>
    <n v="1050.18"/>
    <n v="484.53"/>
    <n v="276.24779999999998"/>
  </r>
  <r>
    <x v="109"/>
    <x v="5"/>
    <x v="3"/>
    <x v="4"/>
    <x v="1"/>
    <x v="1"/>
    <x v="3"/>
    <n v="164"/>
    <n v="129.66"/>
    <n v="5"/>
    <n v="31"/>
    <x v="1"/>
    <n v="492"/>
    <n v="388.98"/>
    <n v="103.01999999999998"/>
    <n v="88.56"/>
  </r>
  <r>
    <x v="110"/>
    <x v="97"/>
    <x v="1"/>
    <x v="1"/>
    <x v="5"/>
    <x v="4"/>
    <x v="8"/>
    <n v="529.20000000000005"/>
    <n v="457.29"/>
    <n v="15"/>
    <n v="91"/>
    <x v="3"/>
    <n v="4233.6000000000004"/>
    <n v="3658.32"/>
    <n v="575.2800000000002"/>
    <n v="762.048"/>
  </r>
  <r>
    <x v="111"/>
    <x v="98"/>
    <x v="3"/>
    <x v="32"/>
    <x v="7"/>
    <x v="6"/>
    <x v="0"/>
    <n v="397.85"/>
    <n v="342.03"/>
    <n v="15"/>
    <n v="54"/>
    <x v="0"/>
    <n v="1989.25"/>
    <n v="1710.1499999999999"/>
    <n v="279.10000000000014"/>
    <n v="358.065"/>
  </r>
  <r>
    <x v="112"/>
    <x v="99"/>
    <x v="0"/>
    <x v="9"/>
    <x v="2"/>
    <x v="2"/>
    <x v="8"/>
    <n v="500.42"/>
    <n v="424.2"/>
    <n v="15"/>
    <n v="119"/>
    <x v="2"/>
    <n v="4003.36"/>
    <n v="3393.6"/>
    <n v="609.76000000000022"/>
    <n v="720.60479999999995"/>
  </r>
  <r>
    <x v="113"/>
    <x v="100"/>
    <x v="5"/>
    <x v="12"/>
    <x v="3"/>
    <x v="3"/>
    <x v="4"/>
    <n v="213.83"/>
    <n v="154.97999999999999"/>
    <n v="0"/>
    <n v="116"/>
    <x v="2"/>
    <n v="2138.3000000000002"/>
    <n v="1549.8"/>
    <n v="588.50000000000023"/>
    <n v="384.89400000000001"/>
  </r>
  <r>
    <x v="114"/>
    <x v="101"/>
    <x v="6"/>
    <x v="17"/>
    <x v="0"/>
    <x v="0"/>
    <x v="4"/>
    <n v="537.61"/>
    <n v="375.13"/>
    <n v="10"/>
    <n v="109"/>
    <x v="1"/>
    <n v="5376.1"/>
    <n v="3751.3"/>
    <n v="1624.8000000000002"/>
    <n v="967.69799999999998"/>
  </r>
  <r>
    <x v="115"/>
    <x v="102"/>
    <x v="4"/>
    <x v="31"/>
    <x v="5"/>
    <x v="4"/>
    <x v="2"/>
    <n v="430.86"/>
    <n v="314.24"/>
    <n v="5"/>
    <n v="90"/>
    <x v="4"/>
    <n v="1723.44"/>
    <n v="1256.96"/>
    <n v="466.48"/>
    <n v="310.2192"/>
  </r>
  <r>
    <x v="116"/>
    <x v="61"/>
    <x v="0"/>
    <x v="0"/>
    <x v="2"/>
    <x v="2"/>
    <x v="8"/>
    <n v="32.83"/>
    <n v="26.35"/>
    <n v="5"/>
    <n v="21"/>
    <x v="3"/>
    <n v="262.64"/>
    <n v="210.8"/>
    <n v="51.839999999999975"/>
    <n v="47.275199999999998"/>
  </r>
  <r>
    <x v="117"/>
    <x v="103"/>
    <x v="0"/>
    <x v="9"/>
    <x v="6"/>
    <x v="5"/>
    <x v="2"/>
    <n v="98.37"/>
    <n v="74.760000000000005"/>
    <n v="10"/>
    <n v="77"/>
    <x v="0"/>
    <n v="393.48"/>
    <n v="299.04000000000002"/>
    <n v="94.44"/>
    <n v="70.826400000000007"/>
  </r>
  <r>
    <x v="118"/>
    <x v="81"/>
    <x v="4"/>
    <x v="6"/>
    <x v="2"/>
    <x v="2"/>
    <x v="8"/>
    <n v="589.55999999999995"/>
    <n v="484.02"/>
    <n v="10"/>
    <n v="112"/>
    <x v="4"/>
    <n v="4716.4799999999996"/>
    <n v="3872.16"/>
    <n v="844.31999999999971"/>
    <n v="848.96639999999991"/>
  </r>
  <r>
    <x v="119"/>
    <x v="104"/>
    <x v="6"/>
    <x v="21"/>
    <x v="5"/>
    <x v="4"/>
    <x v="5"/>
    <n v="688.11"/>
    <n v="483.96"/>
    <n v="10"/>
    <n v="21"/>
    <x v="2"/>
    <n v="4816.7700000000004"/>
    <n v="3387.72"/>
    <n v="1429.0500000000006"/>
    <n v="867.01859999999999"/>
  </r>
  <r>
    <x v="120"/>
    <x v="36"/>
    <x v="3"/>
    <x v="8"/>
    <x v="4"/>
    <x v="1"/>
    <x v="8"/>
    <n v="266.77999999999997"/>
    <n v="190.61"/>
    <n v="10"/>
    <n v="84"/>
    <x v="2"/>
    <n v="2134.2399999999998"/>
    <n v="1524.88"/>
    <n v="609.35999999999967"/>
    <n v="384.16319999999996"/>
  </r>
  <r>
    <x v="121"/>
    <x v="41"/>
    <x v="3"/>
    <x v="32"/>
    <x v="5"/>
    <x v="4"/>
    <x v="8"/>
    <n v="32.36"/>
    <n v="22.26"/>
    <n v="20"/>
    <n v="51"/>
    <x v="0"/>
    <n v="258.88"/>
    <n v="178.08"/>
    <n v="80.799999999999983"/>
    <n v="46.598399999999998"/>
  </r>
  <r>
    <x v="122"/>
    <x v="105"/>
    <x v="0"/>
    <x v="0"/>
    <x v="7"/>
    <x v="6"/>
    <x v="0"/>
    <n v="376.26"/>
    <n v="328.13"/>
    <n v="0"/>
    <n v="14"/>
    <x v="3"/>
    <n v="1881.3"/>
    <n v="1640.65"/>
    <n v="240.64999999999986"/>
    <n v="338.63399999999996"/>
  </r>
  <r>
    <x v="123"/>
    <x v="34"/>
    <x v="6"/>
    <x v="28"/>
    <x v="5"/>
    <x v="4"/>
    <x v="7"/>
    <n v="98.01"/>
    <n v="76.48"/>
    <n v="20"/>
    <n v="63"/>
    <x v="0"/>
    <n v="882.09"/>
    <n v="688.32"/>
    <n v="193.76999999999998"/>
    <n v="158.77619999999999"/>
  </r>
  <r>
    <x v="124"/>
    <x v="106"/>
    <x v="2"/>
    <x v="14"/>
    <x v="7"/>
    <x v="6"/>
    <x v="4"/>
    <n v="310.89999999999998"/>
    <n v="209.98"/>
    <n v="0"/>
    <n v="98"/>
    <x v="3"/>
    <n v="3109"/>
    <n v="2099.7999999999997"/>
    <n v="1009.2000000000003"/>
    <n v="559.62"/>
  </r>
  <r>
    <x v="125"/>
    <x v="27"/>
    <x v="2"/>
    <x v="27"/>
    <x v="5"/>
    <x v="4"/>
    <x v="6"/>
    <n v="80.64"/>
    <n v="58.68"/>
    <n v="20"/>
    <n v="92"/>
    <x v="3"/>
    <n v="483.84000000000003"/>
    <n v="352.08"/>
    <n v="131.76000000000005"/>
    <n v="87.091200000000001"/>
  </r>
  <r>
    <x v="126"/>
    <x v="107"/>
    <x v="2"/>
    <x v="3"/>
    <x v="5"/>
    <x v="4"/>
    <x v="9"/>
    <n v="679.12"/>
    <n v="475.02"/>
    <n v="0"/>
    <n v="94"/>
    <x v="1"/>
    <n v="1358.24"/>
    <n v="950.04"/>
    <n v="408.20000000000005"/>
    <n v="244.48319999999998"/>
  </r>
  <r>
    <x v="127"/>
    <x v="108"/>
    <x v="0"/>
    <x v="2"/>
    <x v="0"/>
    <x v="0"/>
    <x v="1"/>
    <n v="473.62"/>
    <n v="395.53"/>
    <n v="5"/>
    <n v="110"/>
    <x v="0"/>
    <n v="473.62"/>
    <n v="395.53"/>
    <n v="78.090000000000032"/>
    <n v="85.251599999999996"/>
  </r>
  <r>
    <x v="128"/>
    <x v="109"/>
    <x v="6"/>
    <x v="17"/>
    <x v="5"/>
    <x v="4"/>
    <x v="4"/>
    <n v="167.69"/>
    <n v="115.82"/>
    <n v="10"/>
    <n v="109"/>
    <x v="1"/>
    <n v="1676.9"/>
    <n v="1158.1999999999998"/>
    <n v="518.70000000000027"/>
    <n v="301.84199999999998"/>
  </r>
  <r>
    <x v="129"/>
    <x v="110"/>
    <x v="6"/>
    <x v="24"/>
    <x v="6"/>
    <x v="5"/>
    <x v="3"/>
    <n v="389.92"/>
    <n v="274.70999999999998"/>
    <n v="0"/>
    <n v="94"/>
    <x v="4"/>
    <n v="1169.76"/>
    <n v="824.12999999999988"/>
    <n v="345.63000000000011"/>
    <n v="210.55679999999998"/>
  </r>
  <r>
    <x v="130"/>
    <x v="111"/>
    <x v="6"/>
    <x v="24"/>
    <x v="5"/>
    <x v="4"/>
    <x v="4"/>
    <n v="197.27"/>
    <n v="168.65"/>
    <n v="0"/>
    <n v="26"/>
    <x v="2"/>
    <n v="1972.7"/>
    <n v="1686.5"/>
    <n v="286.20000000000005"/>
    <n v="355.08600000000001"/>
  </r>
  <r>
    <x v="131"/>
    <x v="41"/>
    <x v="6"/>
    <x v="28"/>
    <x v="7"/>
    <x v="6"/>
    <x v="8"/>
    <n v="510.67"/>
    <n v="391.23"/>
    <n v="0"/>
    <n v="67"/>
    <x v="0"/>
    <n v="4085.36"/>
    <n v="3129.84"/>
    <n v="955.52"/>
    <n v="735.36479999999995"/>
  </r>
  <r>
    <x v="132"/>
    <x v="112"/>
    <x v="1"/>
    <x v="15"/>
    <x v="2"/>
    <x v="2"/>
    <x v="8"/>
    <n v="361.82"/>
    <n v="325.24"/>
    <n v="15"/>
    <n v="118"/>
    <x v="2"/>
    <n v="2894.56"/>
    <n v="2601.92"/>
    <n v="292.63999999999987"/>
    <n v="521.02080000000001"/>
  </r>
  <r>
    <x v="133"/>
    <x v="113"/>
    <x v="0"/>
    <x v="0"/>
    <x v="7"/>
    <x v="6"/>
    <x v="8"/>
    <n v="52.1"/>
    <n v="46.01"/>
    <n v="20"/>
    <n v="28"/>
    <x v="4"/>
    <n v="416.8"/>
    <n v="368.08"/>
    <n v="48.720000000000027"/>
    <n v="75.024000000000001"/>
  </r>
  <r>
    <x v="134"/>
    <x v="114"/>
    <x v="3"/>
    <x v="8"/>
    <x v="3"/>
    <x v="3"/>
    <x v="5"/>
    <n v="652.66"/>
    <n v="497.37"/>
    <n v="15"/>
    <n v="74"/>
    <x v="0"/>
    <n v="4568.62"/>
    <n v="3481.59"/>
    <n v="1087.0299999999997"/>
    <n v="822.35159999999996"/>
  </r>
  <r>
    <x v="135"/>
    <x v="42"/>
    <x v="6"/>
    <x v="28"/>
    <x v="5"/>
    <x v="4"/>
    <x v="5"/>
    <n v="275.52"/>
    <n v="231.26"/>
    <n v="10"/>
    <n v="115"/>
    <x v="2"/>
    <n v="1928.6399999999999"/>
    <n v="1618.82"/>
    <n v="309.81999999999994"/>
    <n v="347.15519999999998"/>
  </r>
  <r>
    <x v="136"/>
    <x v="115"/>
    <x v="2"/>
    <x v="14"/>
    <x v="3"/>
    <x v="3"/>
    <x v="5"/>
    <n v="196.09"/>
    <n v="163.13999999999999"/>
    <n v="5"/>
    <n v="97"/>
    <x v="2"/>
    <n v="1372.63"/>
    <n v="1141.98"/>
    <n v="230.65000000000009"/>
    <n v="247.07340000000002"/>
  </r>
  <r>
    <x v="137"/>
    <x v="116"/>
    <x v="6"/>
    <x v="28"/>
    <x v="4"/>
    <x v="1"/>
    <x v="5"/>
    <n v="79.989999999999995"/>
    <n v="57.32"/>
    <n v="5"/>
    <n v="81"/>
    <x v="4"/>
    <n v="559.92999999999995"/>
    <n v="401.24"/>
    <n v="158.68999999999994"/>
    <n v="100.78739999999999"/>
  </r>
  <r>
    <x v="138"/>
    <x v="117"/>
    <x v="1"/>
    <x v="13"/>
    <x v="3"/>
    <x v="3"/>
    <x v="9"/>
    <n v="306.27"/>
    <n v="211.3"/>
    <n v="15"/>
    <n v="102"/>
    <x v="4"/>
    <n v="612.54"/>
    <n v="422.6"/>
    <n v="189.93999999999994"/>
    <n v="110.25719999999998"/>
  </r>
  <r>
    <x v="139"/>
    <x v="118"/>
    <x v="1"/>
    <x v="34"/>
    <x v="3"/>
    <x v="3"/>
    <x v="9"/>
    <n v="347.45"/>
    <n v="293.18"/>
    <n v="15"/>
    <n v="38"/>
    <x v="4"/>
    <n v="694.9"/>
    <n v="586.36"/>
    <n v="108.53999999999996"/>
    <n v="125.08199999999999"/>
  </r>
  <r>
    <x v="140"/>
    <x v="119"/>
    <x v="4"/>
    <x v="5"/>
    <x v="3"/>
    <x v="3"/>
    <x v="9"/>
    <n v="510.16"/>
    <n v="383.68"/>
    <n v="15"/>
    <n v="118"/>
    <x v="0"/>
    <n v="1020.32"/>
    <n v="767.36"/>
    <n v="252.96000000000004"/>
    <n v="183.6576"/>
  </r>
  <r>
    <x v="141"/>
    <x v="103"/>
    <x v="1"/>
    <x v="13"/>
    <x v="0"/>
    <x v="0"/>
    <x v="4"/>
    <n v="666.14"/>
    <n v="465.25"/>
    <n v="10"/>
    <n v="13"/>
    <x v="1"/>
    <n v="6661.4"/>
    <n v="4652.5"/>
    <n v="2008.8999999999996"/>
    <n v="1199.0519999999999"/>
  </r>
  <r>
    <x v="142"/>
    <x v="120"/>
    <x v="0"/>
    <x v="20"/>
    <x v="3"/>
    <x v="3"/>
    <x v="6"/>
    <n v="18.809999999999999"/>
    <n v="12.99"/>
    <n v="20"/>
    <n v="94"/>
    <x v="2"/>
    <n v="112.85999999999999"/>
    <n v="77.94"/>
    <n v="34.919999999999987"/>
    <n v="20.314799999999998"/>
  </r>
  <r>
    <x v="143"/>
    <x v="18"/>
    <x v="5"/>
    <x v="25"/>
    <x v="4"/>
    <x v="1"/>
    <x v="7"/>
    <n v="146.34"/>
    <n v="115.42"/>
    <n v="10"/>
    <n v="30"/>
    <x v="3"/>
    <n v="1317.06"/>
    <n v="1038.78"/>
    <n v="278.27999999999997"/>
    <n v="237.07079999999999"/>
  </r>
  <r>
    <x v="144"/>
    <x v="103"/>
    <x v="0"/>
    <x v="20"/>
    <x v="4"/>
    <x v="1"/>
    <x v="1"/>
    <n v="120.88"/>
    <n v="86.23"/>
    <n v="0"/>
    <n v="96"/>
    <x v="4"/>
    <n v="120.88"/>
    <n v="86.23"/>
    <n v="34.649999999999991"/>
    <n v="21.758399999999998"/>
  </r>
  <r>
    <x v="145"/>
    <x v="114"/>
    <x v="2"/>
    <x v="27"/>
    <x v="7"/>
    <x v="6"/>
    <x v="4"/>
    <n v="274.02"/>
    <n v="226.6"/>
    <n v="20"/>
    <n v="24"/>
    <x v="3"/>
    <n v="2740.2"/>
    <n v="2266"/>
    <n v="474.19999999999982"/>
    <n v="493.23599999999993"/>
  </r>
  <r>
    <x v="146"/>
    <x v="121"/>
    <x v="6"/>
    <x v="24"/>
    <x v="7"/>
    <x v="6"/>
    <x v="7"/>
    <n v="376.7"/>
    <n v="336.89"/>
    <n v="15"/>
    <n v="86"/>
    <x v="4"/>
    <n v="3390.2999999999997"/>
    <n v="3032.0099999999998"/>
    <n v="358.28999999999996"/>
    <n v="610.25399999999991"/>
  </r>
  <r>
    <x v="147"/>
    <x v="114"/>
    <x v="5"/>
    <x v="7"/>
    <x v="5"/>
    <x v="4"/>
    <x v="3"/>
    <n v="467.39"/>
    <n v="384.44"/>
    <n v="0"/>
    <n v="10"/>
    <x v="2"/>
    <n v="1402.17"/>
    <n v="1153.32"/>
    <n v="248.85000000000014"/>
    <n v="252.39060000000001"/>
  </r>
  <r>
    <x v="148"/>
    <x v="65"/>
    <x v="5"/>
    <x v="10"/>
    <x v="1"/>
    <x v="1"/>
    <x v="7"/>
    <n v="461.28"/>
    <n v="354.8"/>
    <n v="10"/>
    <n v="19"/>
    <x v="2"/>
    <n v="4151.5199999999995"/>
    <n v="3193.2000000000003"/>
    <n v="958.31999999999925"/>
    <n v="747.27359999999987"/>
  </r>
  <r>
    <x v="149"/>
    <x v="122"/>
    <x v="2"/>
    <x v="14"/>
    <x v="7"/>
    <x v="6"/>
    <x v="9"/>
    <n v="575.26"/>
    <n v="432.43"/>
    <n v="20"/>
    <n v="61"/>
    <x v="2"/>
    <n v="1150.52"/>
    <n v="864.86"/>
    <n v="285.65999999999997"/>
    <n v="207.09359999999998"/>
  </r>
  <r>
    <x v="150"/>
    <x v="123"/>
    <x v="6"/>
    <x v="22"/>
    <x v="0"/>
    <x v="0"/>
    <x v="6"/>
    <n v="139.36000000000001"/>
    <n v="94.22"/>
    <n v="15"/>
    <n v="116"/>
    <x v="3"/>
    <n v="836.16000000000008"/>
    <n v="565.31999999999994"/>
    <n v="270.84000000000015"/>
    <n v="150.50880000000001"/>
  </r>
  <r>
    <x v="151"/>
    <x v="41"/>
    <x v="2"/>
    <x v="14"/>
    <x v="5"/>
    <x v="4"/>
    <x v="5"/>
    <n v="390.98"/>
    <n v="298.55"/>
    <n v="15"/>
    <n v="49"/>
    <x v="3"/>
    <n v="2736.86"/>
    <n v="2089.85"/>
    <n v="647.01000000000022"/>
    <n v="492.63479999999998"/>
  </r>
  <r>
    <x v="152"/>
    <x v="118"/>
    <x v="3"/>
    <x v="23"/>
    <x v="4"/>
    <x v="1"/>
    <x v="7"/>
    <n v="420.28"/>
    <n v="320.27999999999997"/>
    <n v="5"/>
    <n v="109"/>
    <x v="3"/>
    <n v="3782.5199999999995"/>
    <n v="2882.5199999999995"/>
    <n v="900"/>
    <n v="680.85359999999991"/>
  </r>
  <r>
    <x v="153"/>
    <x v="124"/>
    <x v="0"/>
    <x v="26"/>
    <x v="5"/>
    <x v="4"/>
    <x v="9"/>
    <n v="96.39"/>
    <n v="81.760000000000005"/>
    <n v="20"/>
    <n v="29"/>
    <x v="4"/>
    <n v="192.78"/>
    <n v="163.52000000000001"/>
    <n v="29.259999999999991"/>
    <n v="34.700400000000002"/>
  </r>
  <r>
    <x v="154"/>
    <x v="15"/>
    <x v="4"/>
    <x v="30"/>
    <x v="7"/>
    <x v="6"/>
    <x v="4"/>
    <n v="489.23"/>
    <n v="382.34"/>
    <n v="20"/>
    <n v="92"/>
    <x v="0"/>
    <n v="4892.3"/>
    <n v="3823.3999999999996"/>
    <n v="1068.9000000000005"/>
    <n v="880.61400000000003"/>
  </r>
  <r>
    <x v="155"/>
    <x v="125"/>
    <x v="4"/>
    <x v="31"/>
    <x v="6"/>
    <x v="5"/>
    <x v="8"/>
    <n v="55.49"/>
    <n v="43.46"/>
    <n v="10"/>
    <n v="111"/>
    <x v="3"/>
    <n v="443.92"/>
    <n v="347.68"/>
    <n v="96.240000000000009"/>
    <n v="79.905600000000007"/>
  </r>
  <r>
    <x v="156"/>
    <x v="126"/>
    <x v="6"/>
    <x v="24"/>
    <x v="4"/>
    <x v="1"/>
    <x v="0"/>
    <n v="263.43"/>
    <n v="236.25"/>
    <n v="10"/>
    <n v="116"/>
    <x v="3"/>
    <n v="1317.15"/>
    <n v="1181.25"/>
    <n v="135.90000000000009"/>
    <n v="237.08700000000002"/>
  </r>
  <r>
    <x v="157"/>
    <x v="127"/>
    <x v="0"/>
    <x v="0"/>
    <x v="1"/>
    <x v="1"/>
    <x v="8"/>
    <n v="436.15"/>
    <n v="294.36"/>
    <n v="0"/>
    <n v="67"/>
    <x v="0"/>
    <n v="3489.2"/>
    <n v="2354.88"/>
    <n v="1134.3199999999997"/>
    <n v="628.05599999999993"/>
  </r>
  <r>
    <x v="158"/>
    <x v="128"/>
    <x v="5"/>
    <x v="7"/>
    <x v="7"/>
    <x v="6"/>
    <x v="7"/>
    <n v="94.39"/>
    <n v="83.92"/>
    <n v="0"/>
    <n v="113"/>
    <x v="3"/>
    <n v="849.51"/>
    <n v="755.28"/>
    <n v="94.230000000000018"/>
    <n v="152.9118"/>
  </r>
  <r>
    <x v="159"/>
    <x v="129"/>
    <x v="1"/>
    <x v="16"/>
    <x v="0"/>
    <x v="0"/>
    <x v="2"/>
    <n v="533.80999999999995"/>
    <n v="356.73"/>
    <n v="20"/>
    <n v="76"/>
    <x v="0"/>
    <n v="2135.2399999999998"/>
    <n v="1426.92"/>
    <n v="708.31999999999971"/>
    <n v="384.34319999999997"/>
  </r>
  <r>
    <x v="160"/>
    <x v="130"/>
    <x v="3"/>
    <x v="4"/>
    <x v="2"/>
    <x v="2"/>
    <x v="5"/>
    <n v="259.79000000000002"/>
    <n v="210.3"/>
    <n v="20"/>
    <n v="16"/>
    <x v="3"/>
    <n v="1818.5300000000002"/>
    <n v="1472.1000000000001"/>
    <n v="346.43000000000006"/>
    <n v="327.33540000000005"/>
  </r>
  <r>
    <x v="161"/>
    <x v="131"/>
    <x v="3"/>
    <x v="32"/>
    <x v="1"/>
    <x v="1"/>
    <x v="0"/>
    <n v="192.29"/>
    <n v="133.47999999999999"/>
    <n v="20"/>
    <n v="29"/>
    <x v="3"/>
    <n v="961.44999999999993"/>
    <n v="667.4"/>
    <n v="294.04999999999995"/>
    <n v="173.06099999999998"/>
  </r>
  <r>
    <x v="162"/>
    <x v="132"/>
    <x v="1"/>
    <x v="16"/>
    <x v="3"/>
    <x v="3"/>
    <x v="0"/>
    <n v="667.86"/>
    <n v="484.17"/>
    <n v="15"/>
    <n v="26"/>
    <x v="0"/>
    <n v="3339.3"/>
    <n v="2420.85"/>
    <n v="918.45000000000027"/>
    <n v="601.07399999999996"/>
  </r>
  <r>
    <x v="163"/>
    <x v="28"/>
    <x v="6"/>
    <x v="24"/>
    <x v="1"/>
    <x v="1"/>
    <x v="6"/>
    <n v="558.79"/>
    <n v="408.46"/>
    <n v="20"/>
    <n v="21"/>
    <x v="2"/>
    <n v="3352.74"/>
    <n v="2450.7599999999998"/>
    <n v="901.98"/>
    <n v="603.49319999999989"/>
  </r>
  <r>
    <x v="164"/>
    <x v="133"/>
    <x v="3"/>
    <x v="32"/>
    <x v="3"/>
    <x v="3"/>
    <x v="0"/>
    <n v="116.59"/>
    <n v="98.33"/>
    <n v="15"/>
    <n v="34"/>
    <x v="1"/>
    <n v="582.95000000000005"/>
    <n v="491.65"/>
    <n v="91.300000000000068"/>
    <n v="104.931"/>
  </r>
  <r>
    <x v="165"/>
    <x v="134"/>
    <x v="5"/>
    <x v="25"/>
    <x v="2"/>
    <x v="2"/>
    <x v="9"/>
    <n v="340.52"/>
    <n v="258.77"/>
    <n v="20"/>
    <n v="14"/>
    <x v="3"/>
    <n v="681.04"/>
    <n v="517.54"/>
    <n v="163.5"/>
    <n v="122.5872"/>
  </r>
  <r>
    <x v="166"/>
    <x v="135"/>
    <x v="5"/>
    <x v="33"/>
    <x v="1"/>
    <x v="1"/>
    <x v="3"/>
    <n v="128.21"/>
    <n v="89.5"/>
    <n v="20"/>
    <n v="113"/>
    <x v="1"/>
    <n v="384.63"/>
    <n v="268.5"/>
    <n v="116.13"/>
    <n v="69.233400000000003"/>
  </r>
  <r>
    <x v="167"/>
    <x v="136"/>
    <x v="6"/>
    <x v="22"/>
    <x v="3"/>
    <x v="3"/>
    <x v="2"/>
    <n v="652.09"/>
    <n v="485.1"/>
    <n v="15"/>
    <n v="39"/>
    <x v="0"/>
    <n v="2608.36"/>
    <n v="1940.4"/>
    <n v="667.96"/>
    <n v="469.50479999999999"/>
  </r>
  <r>
    <x v="168"/>
    <x v="137"/>
    <x v="3"/>
    <x v="29"/>
    <x v="5"/>
    <x v="4"/>
    <x v="6"/>
    <n v="454.72"/>
    <n v="342.37"/>
    <n v="15"/>
    <n v="69"/>
    <x v="3"/>
    <n v="2728.32"/>
    <n v="2054.2200000000003"/>
    <n v="674.09999999999991"/>
    <n v="491.0976"/>
  </r>
  <r>
    <x v="169"/>
    <x v="107"/>
    <x v="1"/>
    <x v="13"/>
    <x v="1"/>
    <x v="1"/>
    <x v="3"/>
    <n v="582.79999999999995"/>
    <n v="410.28"/>
    <n v="5"/>
    <n v="42"/>
    <x v="4"/>
    <n v="1748.3999999999999"/>
    <n v="1230.8399999999999"/>
    <n v="517.55999999999995"/>
    <n v="314.71199999999999"/>
  </r>
  <r>
    <x v="170"/>
    <x v="138"/>
    <x v="2"/>
    <x v="3"/>
    <x v="4"/>
    <x v="1"/>
    <x v="7"/>
    <n v="518.47"/>
    <n v="427.07"/>
    <n v="5"/>
    <n v="44"/>
    <x v="2"/>
    <n v="4666.2300000000005"/>
    <n v="3843.63"/>
    <n v="822.60000000000036"/>
    <n v="839.92140000000006"/>
  </r>
  <r>
    <x v="171"/>
    <x v="9"/>
    <x v="5"/>
    <x v="12"/>
    <x v="4"/>
    <x v="1"/>
    <x v="2"/>
    <n v="596.34"/>
    <n v="410.18"/>
    <n v="0"/>
    <n v="63"/>
    <x v="4"/>
    <n v="2385.36"/>
    <n v="1640.72"/>
    <n v="744.6400000000001"/>
    <n v="429.3648"/>
  </r>
  <r>
    <x v="172"/>
    <x v="139"/>
    <x v="1"/>
    <x v="34"/>
    <x v="5"/>
    <x v="4"/>
    <x v="5"/>
    <n v="621.63"/>
    <n v="497.32"/>
    <n v="0"/>
    <n v="50"/>
    <x v="4"/>
    <n v="4351.41"/>
    <n v="3481.24"/>
    <n v="870.17000000000007"/>
    <n v="783.25379999999996"/>
  </r>
  <r>
    <x v="173"/>
    <x v="140"/>
    <x v="3"/>
    <x v="23"/>
    <x v="6"/>
    <x v="5"/>
    <x v="1"/>
    <n v="215.6"/>
    <n v="150.57"/>
    <n v="5"/>
    <n v="107"/>
    <x v="2"/>
    <n v="215.6"/>
    <n v="150.57"/>
    <n v="65.03"/>
    <n v="38.808"/>
  </r>
  <r>
    <x v="174"/>
    <x v="141"/>
    <x v="1"/>
    <x v="15"/>
    <x v="4"/>
    <x v="1"/>
    <x v="1"/>
    <n v="194.16"/>
    <n v="135.4"/>
    <n v="20"/>
    <n v="103"/>
    <x v="0"/>
    <n v="194.16"/>
    <n v="135.4"/>
    <n v="58.759999999999991"/>
    <n v="34.948799999999999"/>
  </r>
  <r>
    <x v="175"/>
    <x v="142"/>
    <x v="2"/>
    <x v="14"/>
    <x v="2"/>
    <x v="2"/>
    <x v="2"/>
    <n v="176.33"/>
    <n v="157.56"/>
    <n v="15"/>
    <n v="91"/>
    <x v="0"/>
    <n v="705.32"/>
    <n v="630.24"/>
    <n v="75.080000000000041"/>
    <n v="126.9576"/>
  </r>
  <r>
    <x v="176"/>
    <x v="143"/>
    <x v="6"/>
    <x v="28"/>
    <x v="7"/>
    <x v="6"/>
    <x v="4"/>
    <n v="368.86"/>
    <n v="272.67"/>
    <n v="20"/>
    <n v="40"/>
    <x v="1"/>
    <n v="3688.6000000000004"/>
    <n v="2726.7000000000003"/>
    <n v="961.90000000000009"/>
    <n v="663.94800000000009"/>
  </r>
  <r>
    <x v="177"/>
    <x v="115"/>
    <x v="2"/>
    <x v="14"/>
    <x v="3"/>
    <x v="3"/>
    <x v="2"/>
    <n v="340.29"/>
    <n v="289.63"/>
    <n v="0"/>
    <n v="77"/>
    <x v="3"/>
    <n v="1361.16"/>
    <n v="1158.52"/>
    <n v="202.6400000000001"/>
    <n v="245.00880000000001"/>
  </r>
  <r>
    <x v="178"/>
    <x v="144"/>
    <x v="1"/>
    <x v="13"/>
    <x v="0"/>
    <x v="0"/>
    <x v="5"/>
    <n v="489.35"/>
    <n v="437.93"/>
    <n v="15"/>
    <n v="57"/>
    <x v="3"/>
    <n v="3425.4500000000003"/>
    <n v="3065.51"/>
    <n v="359.94000000000005"/>
    <n v="616.58100000000002"/>
  </r>
  <r>
    <x v="179"/>
    <x v="145"/>
    <x v="3"/>
    <x v="32"/>
    <x v="3"/>
    <x v="3"/>
    <x v="2"/>
    <n v="498.82"/>
    <n v="369.14"/>
    <n v="20"/>
    <n v="104"/>
    <x v="3"/>
    <n v="1995.28"/>
    <n v="1476.56"/>
    <n v="518.72"/>
    <n v="359.15039999999999"/>
  </r>
  <r>
    <x v="180"/>
    <x v="146"/>
    <x v="6"/>
    <x v="24"/>
    <x v="3"/>
    <x v="3"/>
    <x v="3"/>
    <n v="572.75"/>
    <n v="416.89"/>
    <n v="15"/>
    <n v="90"/>
    <x v="1"/>
    <n v="1718.25"/>
    <n v="1250.67"/>
    <n v="467.57999999999993"/>
    <n v="309.28499999999997"/>
  </r>
  <r>
    <x v="181"/>
    <x v="147"/>
    <x v="6"/>
    <x v="22"/>
    <x v="0"/>
    <x v="0"/>
    <x v="0"/>
    <n v="154.08000000000001"/>
    <n v="108.78"/>
    <n v="0"/>
    <n v="50"/>
    <x v="3"/>
    <n v="770.40000000000009"/>
    <n v="543.9"/>
    <n v="226.50000000000011"/>
    <n v="138.672"/>
  </r>
  <r>
    <x v="182"/>
    <x v="148"/>
    <x v="2"/>
    <x v="19"/>
    <x v="7"/>
    <x v="6"/>
    <x v="0"/>
    <n v="37.96"/>
    <n v="27.94"/>
    <n v="10"/>
    <n v="55"/>
    <x v="4"/>
    <n v="189.8"/>
    <n v="139.70000000000002"/>
    <n v="50.099999999999994"/>
    <n v="34.164000000000001"/>
  </r>
  <r>
    <x v="183"/>
    <x v="149"/>
    <x v="3"/>
    <x v="4"/>
    <x v="4"/>
    <x v="1"/>
    <x v="6"/>
    <n v="282.38"/>
    <n v="224.11"/>
    <n v="15"/>
    <n v="59"/>
    <x v="3"/>
    <n v="1694.28"/>
    <n v="1344.66"/>
    <n v="349.61999999999989"/>
    <n v="304.97039999999998"/>
  </r>
  <r>
    <x v="184"/>
    <x v="150"/>
    <x v="2"/>
    <x v="27"/>
    <x v="3"/>
    <x v="3"/>
    <x v="7"/>
    <n v="159.41"/>
    <n v="140.69"/>
    <n v="15"/>
    <n v="20"/>
    <x v="2"/>
    <n v="1434.69"/>
    <n v="1266.21"/>
    <n v="168.48000000000002"/>
    <n v="258.24419999999998"/>
  </r>
  <r>
    <x v="185"/>
    <x v="150"/>
    <x v="4"/>
    <x v="6"/>
    <x v="2"/>
    <x v="2"/>
    <x v="6"/>
    <n v="74.2"/>
    <n v="60.27"/>
    <n v="10"/>
    <n v="49"/>
    <x v="2"/>
    <n v="445.20000000000005"/>
    <n v="361.62"/>
    <n v="83.580000000000041"/>
    <n v="80.13600000000001"/>
  </r>
  <r>
    <x v="186"/>
    <x v="100"/>
    <x v="0"/>
    <x v="9"/>
    <x v="6"/>
    <x v="5"/>
    <x v="8"/>
    <n v="203.57"/>
    <n v="182.26"/>
    <n v="10"/>
    <n v="88"/>
    <x v="2"/>
    <n v="1628.56"/>
    <n v="1458.08"/>
    <n v="170.48000000000002"/>
    <n v="293.14079999999996"/>
  </r>
  <r>
    <x v="187"/>
    <x v="151"/>
    <x v="0"/>
    <x v="0"/>
    <x v="4"/>
    <x v="1"/>
    <x v="5"/>
    <n v="267.07"/>
    <n v="188.02"/>
    <n v="5"/>
    <n v="13"/>
    <x v="1"/>
    <n v="1869.49"/>
    <n v="1316.14"/>
    <n v="553.34999999999991"/>
    <n v="336.50819999999999"/>
  </r>
  <r>
    <x v="188"/>
    <x v="152"/>
    <x v="0"/>
    <x v="9"/>
    <x v="0"/>
    <x v="0"/>
    <x v="3"/>
    <n v="60.61"/>
    <n v="42.94"/>
    <n v="10"/>
    <n v="56"/>
    <x v="2"/>
    <n v="181.82999999999998"/>
    <n v="128.82"/>
    <n v="53.009999999999991"/>
    <n v="32.729399999999998"/>
  </r>
  <r>
    <x v="189"/>
    <x v="153"/>
    <x v="6"/>
    <x v="17"/>
    <x v="6"/>
    <x v="5"/>
    <x v="8"/>
    <n v="593.08000000000004"/>
    <n v="474.92"/>
    <n v="0"/>
    <n v="83"/>
    <x v="1"/>
    <n v="4744.6400000000003"/>
    <n v="3799.36"/>
    <n v="945.2800000000002"/>
    <n v="854.03520000000003"/>
  </r>
  <r>
    <x v="190"/>
    <x v="154"/>
    <x v="3"/>
    <x v="29"/>
    <x v="3"/>
    <x v="3"/>
    <x v="0"/>
    <n v="151.55000000000001"/>
    <n v="132.31"/>
    <n v="5"/>
    <n v="73"/>
    <x v="0"/>
    <n v="757.75"/>
    <n v="661.55"/>
    <n v="96.200000000000045"/>
    <n v="136.39499999999998"/>
  </r>
  <r>
    <x v="191"/>
    <x v="155"/>
    <x v="1"/>
    <x v="15"/>
    <x v="2"/>
    <x v="2"/>
    <x v="0"/>
    <n v="420.95"/>
    <n v="354.98"/>
    <n v="20"/>
    <n v="46"/>
    <x v="2"/>
    <n v="2104.75"/>
    <n v="1774.9"/>
    <n v="329.84999999999991"/>
    <n v="378.85499999999996"/>
  </r>
  <r>
    <x v="192"/>
    <x v="156"/>
    <x v="6"/>
    <x v="21"/>
    <x v="4"/>
    <x v="1"/>
    <x v="8"/>
    <n v="131.05000000000001"/>
    <n v="94.6"/>
    <n v="0"/>
    <n v="113"/>
    <x v="3"/>
    <n v="1048.4000000000001"/>
    <n v="756.8"/>
    <n v="291.60000000000014"/>
    <n v="188.71200000000002"/>
  </r>
  <r>
    <x v="193"/>
    <x v="28"/>
    <x v="3"/>
    <x v="32"/>
    <x v="2"/>
    <x v="2"/>
    <x v="0"/>
    <n v="591.51"/>
    <n v="427.17"/>
    <n v="5"/>
    <n v="111"/>
    <x v="3"/>
    <n v="2957.55"/>
    <n v="2135.85"/>
    <n v="821.70000000000027"/>
    <n v="532.35900000000004"/>
  </r>
  <r>
    <x v="194"/>
    <x v="71"/>
    <x v="5"/>
    <x v="25"/>
    <x v="5"/>
    <x v="4"/>
    <x v="3"/>
    <n v="163.5"/>
    <n v="126"/>
    <n v="10"/>
    <n v="80"/>
    <x v="0"/>
    <n v="490.5"/>
    <n v="378"/>
    <n v="112.5"/>
    <n v="88.289999999999992"/>
  </r>
  <r>
    <x v="195"/>
    <x v="111"/>
    <x v="2"/>
    <x v="19"/>
    <x v="6"/>
    <x v="5"/>
    <x v="4"/>
    <n v="499.27"/>
    <n v="443.28"/>
    <n v="15"/>
    <n v="101"/>
    <x v="2"/>
    <n v="4992.7"/>
    <n v="4432.7999999999993"/>
    <n v="559.90000000000055"/>
    <n v="898.68599999999992"/>
  </r>
  <r>
    <x v="196"/>
    <x v="157"/>
    <x v="2"/>
    <x v="27"/>
    <x v="4"/>
    <x v="1"/>
    <x v="3"/>
    <n v="660.11"/>
    <n v="486.47"/>
    <n v="15"/>
    <n v="69"/>
    <x v="0"/>
    <n v="1980.33"/>
    <n v="1459.41"/>
    <n v="520.91999999999985"/>
    <n v="356.45939999999996"/>
  </r>
  <r>
    <x v="197"/>
    <x v="158"/>
    <x v="5"/>
    <x v="33"/>
    <x v="6"/>
    <x v="5"/>
    <x v="3"/>
    <n v="325.04000000000002"/>
    <n v="221.98"/>
    <n v="0"/>
    <n v="116"/>
    <x v="4"/>
    <n v="975.12000000000012"/>
    <n v="665.93999999999994"/>
    <n v="309.18000000000018"/>
    <n v="175.52160000000001"/>
  </r>
  <r>
    <x v="198"/>
    <x v="5"/>
    <x v="5"/>
    <x v="7"/>
    <x v="6"/>
    <x v="5"/>
    <x v="3"/>
    <n v="232.61"/>
    <n v="168.1"/>
    <n v="10"/>
    <n v="76"/>
    <x v="3"/>
    <n v="697.83"/>
    <n v="504.29999999999995"/>
    <n v="193.53000000000009"/>
    <n v="125.60940000000001"/>
  </r>
  <r>
    <x v="199"/>
    <x v="60"/>
    <x v="3"/>
    <x v="23"/>
    <x v="2"/>
    <x v="2"/>
    <x v="3"/>
    <n v="425.61"/>
    <n v="316.26"/>
    <n v="0"/>
    <n v="74"/>
    <x v="1"/>
    <n v="1276.83"/>
    <n v="948.78"/>
    <n v="328.04999999999995"/>
    <n v="229.8293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017AE-B539-4443-989F-A007F91E683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1:B29" firstHeaderRow="1"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x="1"/>
        <item x="2"/>
        <item x="5"/>
        <item x="6"/>
        <item x="4"/>
        <item x="0"/>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Cost Price" fld="8" baseField="0" baseItem="0"/>
  </dataFields>
  <chartFormats count="1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0"/>
          </reference>
        </references>
      </pivotArea>
    </chartFormat>
    <chartFormat chart="8" format="18">
      <pivotArea type="data" outline="0" fieldPosition="0">
        <references count="2">
          <reference field="4294967294" count="1" selected="0">
            <x v="0"/>
          </reference>
          <reference field="2" count="1" selected="0">
            <x v="1"/>
          </reference>
        </references>
      </pivotArea>
    </chartFormat>
    <chartFormat chart="8" format="19">
      <pivotArea type="data" outline="0" fieldPosition="0">
        <references count="2">
          <reference field="4294967294" count="1" selected="0">
            <x v="0"/>
          </reference>
          <reference field="2" count="1" selected="0">
            <x v="2"/>
          </reference>
        </references>
      </pivotArea>
    </chartFormat>
    <chartFormat chart="8" format="20">
      <pivotArea type="data" outline="0" fieldPosition="0">
        <references count="2">
          <reference field="4294967294" count="1" selected="0">
            <x v="0"/>
          </reference>
          <reference field="2" count="1" selected="0">
            <x v="3"/>
          </reference>
        </references>
      </pivotArea>
    </chartFormat>
    <chartFormat chart="8" format="21">
      <pivotArea type="data" outline="0" fieldPosition="0">
        <references count="2">
          <reference field="4294967294" count="1" selected="0">
            <x v="0"/>
          </reference>
          <reference field="2" count="1" selected="0">
            <x v="4"/>
          </reference>
        </references>
      </pivotArea>
    </chartFormat>
    <chartFormat chart="8" format="22">
      <pivotArea type="data" outline="0" fieldPosition="0">
        <references count="2">
          <reference field="4294967294" count="1" selected="0">
            <x v="0"/>
          </reference>
          <reference field="2" count="1" selected="0">
            <x v="5"/>
          </reference>
        </references>
      </pivotArea>
    </chartFormat>
    <chartFormat chart="8" format="23">
      <pivotArea type="data" outline="0" fieldPosition="0">
        <references count="2">
          <reference field="4294967294" count="1" selected="0">
            <x v="0"/>
          </reference>
          <reference field="2" count="1" selected="0">
            <x v="6"/>
          </reference>
        </references>
      </pivotArea>
    </chartFormat>
    <chartFormat chart="0"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4E7682-B701-427F-8A2A-F087A723359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11" firstHeaderRow="0" firstDataRow="1" firstDataCol="1"/>
  <pivotFields count="18">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x="1"/>
        <item x="2"/>
        <item x="5"/>
        <item x="6"/>
        <item x="4"/>
        <item x="0"/>
        <item x="3"/>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Count of City" fld="4" subtotal="count" baseField="0" baseItem="0"/>
    <dataField name="Count of Product Name"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6E3CC4-E8AE-4307-8A81-39E3A1498EB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6:C44" firstHeaderRow="0" firstDataRow="1" firstDataCol="1" rowPageCount="1" colPageCount="1"/>
  <pivotFields count="18">
    <pivotField axis="axisPage"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dataField="1" showAll="0">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dataField="1" showAll="0">
      <items count="9">
        <item x="7"/>
        <item x="6"/>
        <item x="2"/>
        <item x="0"/>
        <item x="5"/>
        <item x="3"/>
        <item x="4"/>
        <item x="1"/>
        <item t="default"/>
      </items>
    </pivotField>
    <pivotField axis="axisRow" showAll="0">
      <items count="8">
        <item x="0"/>
        <item x="6"/>
        <item x="5"/>
        <item x="1"/>
        <item x="2"/>
        <item x="4"/>
        <item x="3"/>
        <item t="default"/>
      </items>
    </pivotField>
    <pivotField showAll="0">
      <items count="11">
        <item x="1"/>
        <item x="9"/>
        <item x="3"/>
        <item x="2"/>
        <item x="0"/>
        <item x="6"/>
        <item x="5"/>
        <item x="8"/>
        <item x="7"/>
        <item x="4"/>
        <item t="default"/>
      </items>
    </pivotField>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Fields count="1">
    <field x="-2"/>
  </colFields>
  <colItems count="2">
    <i>
      <x/>
    </i>
    <i i="1">
      <x v="1"/>
    </i>
  </colItems>
  <pageFields count="1">
    <pageField fld="0" hier="-1"/>
  </pageFields>
  <dataFields count="2">
    <dataField name="Count of Product Name" fld="3" subtotal="count" baseField="0" baseItem="0"/>
    <dataField name="Count of City" fld="4" subtotal="count" baseField="0" baseItem="0"/>
  </dataFields>
  <chartFormats count="5">
    <chartFormat chart="0" format="42" series="1">
      <pivotArea type="data" outline="0" fieldPosition="0">
        <references count="1">
          <reference field="4294967294" count="1" selected="0">
            <x v="1"/>
          </reference>
        </references>
      </pivotArea>
    </chartFormat>
    <chartFormat chart="0" format="43">
      <pivotArea type="data" outline="0" fieldPosition="0">
        <references count="2">
          <reference field="4294967294" count="1" selected="0">
            <x v="1"/>
          </reference>
          <reference field="5" count="1" selected="0">
            <x v="0"/>
          </reference>
        </references>
      </pivotArea>
    </chartFormat>
    <chartFormat chart="0" format="44" series="1">
      <pivotArea type="data" outline="0" fieldPosition="0">
        <references count="1">
          <reference field="4294967294" count="1" selected="0">
            <x v="0"/>
          </reference>
        </references>
      </pivotArea>
    </chartFormat>
    <chartFormat chart="14" format="47" series="1">
      <pivotArea type="data" outline="0" fieldPosition="0">
        <references count="1">
          <reference field="4294967294" count="1" selected="0">
            <x v="0"/>
          </reference>
        </references>
      </pivotArea>
    </chartFormat>
    <chartFormat chart="14" format="4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EDD84D-9CF2-405C-BB92-D64E8DA5E77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8:B41" firstHeaderRow="1"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h="1" x="1"/>
        <item x="2"/>
        <item x="5"/>
        <item h="1" x="6"/>
        <item h="1" x="4"/>
        <item h="1" x="0"/>
        <item h="1"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v="1"/>
    </i>
    <i>
      <x v="2"/>
    </i>
    <i t="grand">
      <x/>
    </i>
  </rowItems>
  <colItems count="1">
    <i/>
  </colItems>
  <dataFields count="1">
    <dataField name="Sum of Order Quantity" fld="6"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8730E-8CF5-4CE5-8B01-52E769D17AB3}" name="PivotTable5"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10">
  <location ref="A22:C30" firstHeaderRow="0"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axis="axisRow" showAll="0">
      <items count="8">
        <item x="1"/>
        <item x="2"/>
        <item x="5"/>
        <item x="6"/>
        <item x="4"/>
        <item x="0"/>
        <item x="3"/>
        <item t="default"/>
      </items>
    </pivotField>
    <pivotField dataField="1" showAll="0">
      <items count="36">
        <item x="28"/>
        <item x="21"/>
        <item x="23"/>
        <item x="15"/>
        <item x="7"/>
        <item x="16"/>
        <item x="10"/>
        <item x="32"/>
        <item x="8"/>
        <item x="6"/>
        <item x="18"/>
        <item x="34"/>
        <item x="12"/>
        <item x="11"/>
        <item x="30"/>
        <item x="1"/>
        <item x="19"/>
        <item x="2"/>
        <item x="3"/>
        <item x="9"/>
        <item x="25"/>
        <item x="5"/>
        <item x="13"/>
        <item x="4"/>
        <item x="17"/>
        <item x="33"/>
        <item x="29"/>
        <item x="22"/>
        <item x="0"/>
        <item x="26"/>
        <item x="27"/>
        <item x="14"/>
        <item x="31"/>
        <item x="24"/>
        <item x="2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Count of Product Name" fld="3" subtotal="count" baseField="0" baseItem="0"/>
    <dataField name="Sum of Cost Price" fld="8"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6D45AA-1ACD-4E14-BC54-8397AF4748F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8">
    <pivotField showAll="0"/>
    <pivotField numFmtId="14" showAll="0">
      <items count="160">
        <item x="121"/>
        <item x="33"/>
        <item x="104"/>
        <item x="144"/>
        <item x="65"/>
        <item x="87"/>
        <item x="27"/>
        <item x="130"/>
        <item x="115"/>
        <item x="120"/>
        <item x="80"/>
        <item x="31"/>
        <item x="64"/>
        <item x="126"/>
        <item x="5"/>
        <item x="131"/>
        <item x="128"/>
        <item x="0"/>
        <item x="123"/>
        <item x="3"/>
        <item x="24"/>
        <item x="96"/>
        <item x="99"/>
        <item x="11"/>
        <item x="43"/>
        <item x="113"/>
        <item x="17"/>
        <item x="110"/>
        <item x="145"/>
        <item x="146"/>
        <item x="133"/>
        <item x="50"/>
        <item x="34"/>
        <item x="129"/>
        <item x="124"/>
        <item x="149"/>
        <item x="23"/>
        <item x="73"/>
        <item x="51"/>
        <item x="1"/>
        <item x="155"/>
        <item x="108"/>
        <item x="106"/>
        <item x="41"/>
        <item x="39"/>
        <item x="136"/>
        <item x="16"/>
        <item x="32"/>
        <item x="29"/>
        <item x="35"/>
        <item x="86"/>
        <item x="30"/>
        <item x="78"/>
        <item x="72"/>
        <item x="103"/>
        <item x="100"/>
        <item x="92"/>
        <item x="49"/>
        <item x="26"/>
        <item x="117"/>
        <item x="122"/>
        <item x="143"/>
        <item x="4"/>
        <item x="74"/>
        <item x="98"/>
        <item x="18"/>
        <item x="8"/>
        <item x="15"/>
        <item x="68"/>
        <item x="61"/>
        <item x="85"/>
        <item x="20"/>
        <item x="75"/>
        <item x="157"/>
        <item x="118"/>
        <item x="6"/>
        <item x="71"/>
        <item x="94"/>
        <item x="7"/>
        <item x="137"/>
        <item x="154"/>
        <item x="9"/>
        <item x="42"/>
        <item x="47"/>
        <item x="57"/>
        <item x="22"/>
        <item x="52"/>
        <item x="112"/>
        <item x="10"/>
        <item x="114"/>
        <item x="82"/>
        <item x="13"/>
        <item x="84"/>
        <item x="135"/>
        <item x="54"/>
        <item x="140"/>
        <item x="91"/>
        <item x="142"/>
        <item x="97"/>
        <item x="53"/>
        <item x="48"/>
        <item x="81"/>
        <item x="62"/>
        <item x="95"/>
        <item x="25"/>
        <item x="55"/>
        <item x="66"/>
        <item x="105"/>
        <item x="28"/>
        <item x="44"/>
        <item x="138"/>
        <item x="147"/>
        <item x="158"/>
        <item x="111"/>
        <item x="141"/>
        <item x="153"/>
        <item x="59"/>
        <item x="56"/>
        <item x="37"/>
        <item x="88"/>
        <item x="12"/>
        <item x="69"/>
        <item x="77"/>
        <item x="152"/>
        <item x="21"/>
        <item x="93"/>
        <item x="116"/>
        <item x="19"/>
        <item x="125"/>
        <item x="60"/>
        <item x="109"/>
        <item x="150"/>
        <item x="101"/>
        <item x="151"/>
        <item x="67"/>
        <item x="134"/>
        <item x="119"/>
        <item x="102"/>
        <item x="76"/>
        <item x="36"/>
        <item x="14"/>
        <item x="107"/>
        <item x="90"/>
        <item x="139"/>
        <item x="127"/>
        <item x="148"/>
        <item x="46"/>
        <item x="156"/>
        <item x="40"/>
        <item x="83"/>
        <item x="38"/>
        <item x="45"/>
        <item x="79"/>
        <item x="70"/>
        <item x="58"/>
        <item x="2"/>
        <item x="63"/>
        <item x="132"/>
        <item x="89"/>
        <item t="default"/>
      </items>
    </pivotField>
    <pivotField showAll="0"/>
    <pivotField showAll="0"/>
    <pivotField showAll="0"/>
    <pivotField showAll="0"/>
    <pivotField showAll="0"/>
    <pivotField showAll="0"/>
    <pivotField showAll="0"/>
    <pivotField showAll="0"/>
    <pivotField showAll="0"/>
    <pivotField axis="axisRow" showAll="0">
      <items count="6">
        <item x="2"/>
        <item x="1"/>
        <item x="3"/>
        <item x="4"/>
        <item x="0"/>
        <item t="default"/>
      </items>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Sum of Profit" fld="14" baseField="0" baseItem="0"/>
  </dataFields>
  <chartFormats count="3">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11" count="1" selected="0">
            <x v="1"/>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7BD5B50-7BCC-4369-8D19-B63CCC8F04D4}" sourceName="State">
  <pivotTables>
    <pivotTable tabId="6" name="PivotTable3"/>
  </pivotTables>
  <data>
    <tabular pivotCacheId="276603576">
      <items count="7">
        <i x="0" s="1"/>
        <i x="6" s="1"/>
        <i x="5"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1C8248E-C347-4DDE-A729-17C298A85BB4}" sourceName="Months (Order Date)">
  <pivotTables>
    <pivotTable tabId="6" name="PivotTable1"/>
    <pivotTable tabId="6" name="PivotTable2"/>
    <pivotTable tabId="6" name="PivotTable3"/>
    <pivotTable tabId="7" name="PivotTable11"/>
    <pivotTable tabId="7" name="PivotTable4"/>
    <pivotTable tabId="7" name="PivotTable5"/>
  </pivotTables>
  <data>
    <tabular pivotCacheId="27660357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9323103-28E8-405D-B8B7-0795217105DE}" cache="Slicer_State" caption="State" style="Slicer Style 5" rowHeight="251883"/>
  <slicer name="Months (Order Date)" xr10:uid="{F82EB8DA-3A91-4203-A6C1-98B91010C510}" cache="Slicer_Months__Order_Date" caption="Months (Order Date)" style="SlicerStyleOther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52214C1D-1FBF-462F-80C8-77774D80D03A}" cache="Slicer_Months__Order_Date" caption="Months (Order Date)"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B24CA-2853-4866-949F-42698899A8AE}" name="Table1" displayName="Table1" ref="A1:P201" totalsRowShown="0" headerRowDxfId="12" headerRowBorderDxfId="11" tableBorderDxfId="10">
  <tableColumns count="16">
    <tableColumn id="1" xr3:uid="{F6779D04-09CA-4173-8426-EE6B08F2A67E}" name="Order ID"/>
    <tableColumn id="2" xr3:uid="{E6FB0DB6-5142-4CF5-B63F-686083EA786B}" name="Order Date" dataDxfId="9"/>
    <tableColumn id="3" xr3:uid="{F0A9899B-EEE6-483F-A203-8B672943BE95}" name="Product Category"/>
    <tableColumn id="4" xr3:uid="{0E3E68E4-E883-4374-ADB6-2FDB5914602A}" name="Product Name"/>
    <tableColumn id="5" xr3:uid="{44F9C159-D59E-4966-BD15-92412CD233F1}" name="City"/>
    <tableColumn id="6" xr3:uid="{1DE06F51-CE78-460A-80DA-BF474AF904B2}" name="State"/>
    <tableColumn id="7" xr3:uid="{04881597-C4E1-488C-8BDB-61C7D26E1521}" name="Order Quantity"/>
    <tableColumn id="8" xr3:uid="{C5A85EE8-5FA5-4AD5-B17B-01FB05F1BDF7}" name="Selling Price"/>
    <tableColumn id="9" xr3:uid="{8D6978E2-0AD9-417C-8D5B-92546410CF61}" name="Cost Price"/>
    <tableColumn id="10" xr3:uid="{CF147561-01DD-4C6E-8A17-071D3DF5762C}" name="Discount (%)"/>
    <tableColumn id="11" xr3:uid="{5D2AC16B-2FD1-4E9A-9AE2-E10EC5DD038A}" name="Delivery Time (min)"/>
    <tableColumn id="12" xr3:uid="{3F82B095-5BA0-4DE5-A4C5-7D8737A5B3CA}" name="Payment Mode"/>
    <tableColumn id="13" xr3:uid="{3D6F0C3D-D97E-4A00-8A9B-621054659009}" name="total sale " dataDxfId="8"/>
    <tableColumn id="14" xr3:uid="{C3DD73E5-38A1-43F7-A4E4-78DC0CE544A2}" name="Total cost" dataDxfId="7"/>
    <tableColumn id="15" xr3:uid="{2FD4DE85-2CC5-4319-BB49-65137C023C3F}" name="Profit" dataDxfId="6"/>
    <tableColumn id="16" xr3:uid="{F573D65E-C205-4F94-BFE3-312E48ADDDAC}" name="GST Tax (18%)" dataDxfId="5">
      <calculatedColumnFormula>M2*$Q$2</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FDF6D2-84F7-41FC-951B-4CB14D1C0A79}" name="Table267" displayName="Table267" ref="R3:S7" totalsRowShown="0">
  <autoFilter ref="R3:S7" xr:uid="{80FDF6D2-84F7-41FC-951B-4CB14D1C0A79}"/>
  <tableColumns count="2">
    <tableColumn id="1" xr3:uid="{FFB5485E-1123-4D71-B9EA-C47F7E324C8A}" name="Order ID"/>
    <tableColumn id="2" xr3:uid="{A729E275-2A7E-4638-9AF6-E69E348E5A53}" name="Selling Price" dataDxfId="4">
      <calculatedColumnFormula>VLOOKUP(R4,A1:H8,8,FALSE)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F927D64-D980-45AB-B3B6-6B380BE72257}" name="Table7" displayName="Table7" ref="R9:S13" totalsRowShown="0">
  <autoFilter ref="R9:S13" xr:uid="{EF927D64-D980-45AB-B3B6-6B380BE72257}"/>
  <tableColumns count="2">
    <tableColumn id="1" xr3:uid="{A5443CED-8EB0-4C0F-879F-29BD532945F2}" name="Order Date" dataDxfId="3"/>
    <tableColumn id="2" xr3:uid="{5461D435-664E-4377-AA3A-D8D8024BCB62}" name="Profit">
      <calculatedColumnFormula>VLOOKUP(R10,B1:O7,14,0)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D3850C-D309-4E6F-B16C-E32B35703F54}" name="Table8" displayName="Table8" ref="R15:S19" totalsRowShown="0">
  <autoFilter ref="R15:S19" xr:uid="{3DD3850C-D309-4E6F-B16C-E32B35703F54}"/>
  <tableColumns count="2">
    <tableColumn id="1" xr3:uid="{B4CB6210-8D07-4837-A7A6-4E4166A56AFD}" name="Product Category"/>
    <tableColumn id="2" xr3:uid="{9FD4030C-6592-4D82-9537-3B53B392DB46}" name="Discount (%)">
      <calculatedColumnFormula>VLOOKUP(R16,C1:J7,8,FALSE)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5D1D033-27B5-4EE3-ABC8-4BF4734DEACA}" name="Table9" displayName="Table9" ref="R21:S25" totalsRowShown="0">
  <autoFilter ref="R21:S25" xr:uid="{55D1D033-27B5-4EE3-ABC8-4BF4734DEACA}"/>
  <tableColumns count="2">
    <tableColumn id="1" xr3:uid="{386FFE60-C063-4BDF-B453-B7807A5930A0}" name="City"/>
    <tableColumn id="2" xr3:uid="{0ABFE353-B803-4517-8CC1-9E75D478FF1C}" name="total sale ">
      <calculatedColumnFormula>VLOOKUP(R22,E1:M12,9,0)</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9E4A55-9063-426D-8539-00CB8BFD63AC}" name="Table10" displayName="Table10" ref="R27:S31" totalsRowShown="0">
  <autoFilter ref="R27:S31" xr:uid="{069E4A55-9063-426D-8539-00CB8BFD63AC}"/>
  <tableColumns count="2">
    <tableColumn id="1" xr3:uid="{D9313417-9789-4446-9A14-401901ED6B94}" name="Product Name"/>
    <tableColumn id="2" xr3:uid="{F9D99E8B-5B46-4478-BB4B-A551356D65A8}" name="Profit">
      <calculatedColumnFormula>VLOOKUP(R28,D1:O9,12,0)</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2D7FDE-53E3-41BA-8A19-2D5B66DAD820}" name="Table12" displayName="Table12" ref="R33:S37" totalsRowShown="0">
  <autoFilter ref="R33:S37" xr:uid="{2D2D7FDE-53E3-41BA-8A19-2D5B66DAD820}"/>
  <tableColumns count="2">
    <tableColumn id="1" xr3:uid="{92D13CBB-60FB-481D-8EAB-7A001A579D67}" name="Order ID"/>
    <tableColumn id="2" xr3:uid="{880114EC-2DA0-4BC3-AFC9-BAEACC984A32}" name="Delivery Time (min)">
      <calculatedColumnFormula>VLOOKUP(R34,A1:K10,11,0)</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018ECDF-FB04-4417-9E41-1A5A30DCF42B}" name="Table13" displayName="Table13" ref="R39:S43" totalsRowShown="0">
  <autoFilter ref="R39:S43" xr:uid="{6018ECDF-FB04-4417-9E41-1A5A30DCF42B}"/>
  <tableColumns count="2">
    <tableColumn id="1" xr3:uid="{0B02B4ED-0DFC-48E8-A949-CC9AD37C2053}" name="Product Category"/>
    <tableColumn id="2" xr3:uid="{C8593523-2739-434D-993B-47FE1BCFAB4D}" name="GST Tax (18%)">
      <calculatedColumnFormula>VLOOKUP(R40,C1:P8,14,0)</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2E4BB5-1179-4553-B599-33B0DA663308}" name="Table2" displayName="Table2" ref="R45:S50" totalsRowShown="0">
  <autoFilter ref="R45:S50" xr:uid="{532E4BB5-1179-4553-B599-33B0DA663308}"/>
  <tableColumns count="2">
    <tableColumn id="1" xr3:uid="{EE8C94D3-572B-4A8D-8EE9-2AFAC4E4F6D8}" name="Order ID"/>
    <tableColumn id="2" xr3:uid="{F1FC8B07-9979-4611-97FD-8CFB2114C9D9}" name="Payment Mode">
      <calculatedColumnFormula>VLOOKUP(R46,A1:L7,12,0)</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2C5577-C594-4844-B1D1-242D913B349A}" name="Table3" displayName="Table3" ref="R52:S56" totalsRowShown="0">
  <autoFilter ref="R52:S56" xr:uid="{E62C5577-C594-4844-B1D1-242D913B349A}"/>
  <tableColumns count="2">
    <tableColumn id="1" xr3:uid="{728E9537-2410-42E9-B6DC-AA0ABD8FB3E8}" name="Selling Price"/>
    <tableColumn id="2" xr3:uid="{3519C604-CD1F-4659-9D07-7DE01F9B7426}" name="Discount (%)">
      <calculatedColumnFormula>VLOOKUP(R53,H1:J13,3,FALSE)</calculatedColumnFormula>
    </tableColumn>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3CB7A9-46E9-4742-80C8-BBBED568D20A}" name="Table4" displayName="Table4" ref="R58:S62" totalsRowShown="0">
  <autoFilter ref="R58:S62" xr:uid="{D33CB7A9-46E9-4742-80C8-BBBED568D20A}"/>
  <tableColumns count="2">
    <tableColumn id="1" xr3:uid="{07DF0FC0-C969-4050-A15C-2F36DE59D6CF}" name="Order Date" dataDxfId="2"/>
    <tableColumn id="2" xr3:uid="{9FE6F6AB-41ED-40B6-82B0-8C5E7E1CD0A2}" name="total sale ">
      <calculatedColumnFormula>VLOOKUP(R59,B1:M10,12,0)</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0E27B3-F547-415B-9965-C76A40CC11C3}" name="Table5" displayName="Table5" ref="R64:S68" totalsRowShown="0">
  <autoFilter ref="R64:S68" xr:uid="{180E27B3-F547-415B-9965-C76A40CC11C3}"/>
  <tableColumns count="2">
    <tableColumn id="1" xr3:uid="{BB6FD15C-55B8-4812-B80A-049A4E348BC1}" name="Order Date" dataDxfId="1"/>
    <tableColumn id="2" xr3:uid="{3B78BACD-EAB6-4A70-9E3F-1E748F39C520}" name="Payment Mode">
      <calculatedColumnFormula>VLOOKUP(R65,B1:L9,8,0)</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BD1B2EB-F81E-4945-817B-7CE6FE9A91A5}" name="Table15" displayName="Table15" ref="R70:S74" totalsRowShown="0">
  <autoFilter ref="R70:S74" xr:uid="{7BD1B2EB-F81E-4945-817B-7CE6FE9A91A5}"/>
  <tableColumns count="2">
    <tableColumn id="1" xr3:uid="{CE661D8A-4C85-4440-A108-DE7A9CF11BE6}" name="Product Category"/>
    <tableColumn id="2" xr3:uid="{EDFED02D-D6EA-4870-AFF5-872126CB425E}" name="Product Name" dataDxfId="0">
      <calculatedColumnFormula>VLOOKUP(Table15[[#This Row],[Product Category]],C1:D9,2,0)</calculatedColumnFormula>
    </tableColumn>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17673AD-F746-4847-8A00-F4996C94B9F2}" name="Table16" displayName="Table16" ref="R76:S80" totalsRowShown="0">
  <autoFilter ref="R76:S80" xr:uid="{A17673AD-F746-4847-8A00-F4996C94B9F2}"/>
  <tableColumns count="2">
    <tableColumn id="1" xr3:uid="{D924CEE2-00BD-4EED-813F-0C05F1878952}" name="total sale "/>
    <tableColumn id="2" xr3:uid="{95054009-2180-46DD-95D0-D9EBD36FCC8D}" name="Profit">
      <calculatedColumnFormula>VLOOKUP(R77,M1:O9,3,FALSE)</calculatedColumnFormula>
    </tableColumn>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067F254-D5B4-43AB-936A-B15CC3B63064}" name="Table17" displayName="Table17" ref="R82:S86" totalsRowShown="0">
  <autoFilter ref="R82:S86" xr:uid="{1067F254-D5B4-43AB-936A-B15CC3B63064}"/>
  <tableColumns count="2">
    <tableColumn id="1" xr3:uid="{8CC1E906-F72B-4DB6-AC7D-F4B4AC78492F}" name="Order Quantity"/>
    <tableColumn id="2" xr3:uid="{FD6DC05E-8202-4FD6-BBA2-A6F8B048C584}" name="Cost Price">
      <calculatedColumnFormula>VLOOKUP(R83,G1:I8,3,0)</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5D4529-F2A7-4B78-81B1-8E3EE114F801}" name="Table18" displayName="Table18" ref="R88:S92" totalsRowShown="0">
  <autoFilter ref="R88:S92" xr:uid="{2F5D4529-F2A7-4B78-81B1-8E3EE114F801}"/>
  <tableColumns count="2">
    <tableColumn id="1" xr3:uid="{C3E708C6-C31E-4E5E-9E15-B600571859F6}" name="Delivery Time (min)"/>
    <tableColumn id="2" xr3:uid="{5A6823F2-3786-4180-8B71-6EBD51B81897}" name="Payment Mode">
      <calculatedColumnFormula>VLOOKUP(R89,K1:L7,2,0)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E3AF94B-B8C5-4121-8A59-DB8103FC4F42}" sourceName="Order Date">
  <pivotTables>
    <pivotTable tabId="6" name="PivotTable3"/>
    <pivotTable tabId="6" name="PivotTable1"/>
    <pivotTable tabId="6" name="PivotTable2"/>
    <pivotTable tabId="7" name="PivotTable11"/>
    <pivotTable tabId="7" name="PivotTable4"/>
    <pivotTable tabId="7" name="PivotTable5"/>
  </pivotTables>
  <state minimalRefreshVersion="6" lastRefreshVersion="6" pivotCacheId="276603576" filterType="dateBetween">
    <selection startDate="2023-07-01T00:00:00" endDate="2023-07-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3B32621-B844-429A-A216-040655675D0A}" cache="NativeTimeline_Order_Date" caption="Order Date" level="2" selectionLevel="2" scrollPosition="2023-05-1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0D5D115-4277-4C07-B526-8B774F9E74D6}" cache="NativeTimeline_Order_Date" caption="Order Date" showHorizontalScrollbar="0" level="2" selectionLevel="2"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3A20E-5CD0-4B03-9C1F-D262913DB3AB}">
  <dimension ref="A3:M44"/>
  <sheetViews>
    <sheetView showGridLines="0" zoomScale="70" zoomScaleNormal="70" workbookViewId="0">
      <selection activeCell="C4" sqref="C4"/>
    </sheetView>
  </sheetViews>
  <sheetFormatPr defaultRowHeight="14.5" x14ac:dyDescent="0.35"/>
  <cols>
    <col min="1" max="1" width="13.36328125" bestFit="1" customWidth="1"/>
    <col min="2" max="2" width="20.36328125" bestFit="1" customWidth="1"/>
    <col min="3" max="3" width="11.90625" bestFit="1" customWidth="1"/>
    <col min="4" max="4" width="7.54296875" bestFit="1" customWidth="1"/>
    <col min="5" max="5" width="5.6328125" bestFit="1" customWidth="1"/>
    <col min="6" max="6" width="5.90625" bestFit="1" customWidth="1"/>
    <col min="7" max="7" width="5.08984375" bestFit="1" customWidth="1"/>
    <col min="8" max="8" width="7.08984375" bestFit="1" customWidth="1"/>
    <col min="9" max="9" width="5.7265625" bestFit="1" customWidth="1"/>
    <col min="10" max="10" width="9.36328125" bestFit="1" customWidth="1"/>
    <col min="11" max="11" width="7.36328125" bestFit="1" customWidth="1"/>
    <col min="12" max="12" width="6.36328125" bestFit="1" customWidth="1"/>
    <col min="13" max="13" width="8.81640625" bestFit="1" customWidth="1"/>
    <col min="14" max="14" width="4.90625" bestFit="1" customWidth="1"/>
    <col min="15" max="15" width="9" bestFit="1" customWidth="1"/>
    <col min="16" max="16" width="9.1796875" bestFit="1" customWidth="1"/>
    <col min="17" max="17" width="5.90625" bestFit="1" customWidth="1"/>
    <col min="18" max="18" width="11.26953125" bestFit="1" customWidth="1"/>
    <col min="19" max="19" width="9.81640625" bestFit="1" customWidth="1"/>
    <col min="20" max="20" width="5.08984375" bestFit="1" customWidth="1"/>
    <col min="21" max="21" width="6" bestFit="1" customWidth="1"/>
    <col min="22" max="23" width="4.36328125" bestFit="1" customWidth="1"/>
    <col min="24" max="24" width="6.26953125" bestFit="1" customWidth="1"/>
    <col min="25" max="25" width="7.6328125" bestFit="1" customWidth="1"/>
    <col min="26" max="26" width="5.81640625" bestFit="1" customWidth="1"/>
    <col min="27" max="27" width="6.6328125" bestFit="1" customWidth="1"/>
    <col min="28" max="28" width="7.7265625" bestFit="1" customWidth="1"/>
    <col min="29" max="29" width="6.1796875" bestFit="1" customWidth="1"/>
    <col min="31" max="32" width="5" bestFit="1" customWidth="1"/>
    <col min="33" max="33" width="3.7265625" bestFit="1" customWidth="1"/>
    <col min="34" max="34" width="6.1796875" bestFit="1" customWidth="1"/>
    <col min="35" max="35" width="7" bestFit="1" customWidth="1"/>
    <col min="36" max="36" width="10.08984375" bestFit="1" customWidth="1"/>
    <col min="37" max="37" width="10.36328125" bestFit="1" customWidth="1"/>
  </cols>
  <sheetData>
    <row r="3" spans="1:13" x14ac:dyDescent="0.35">
      <c r="A3" s="6" t="s">
        <v>279</v>
      </c>
      <c r="B3" t="s">
        <v>282</v>
      </c>
      <c r="C3" t="s">
        <v>281</v>
      </c>
    </row>
    <row r="4" spans="1:13" x14ac:dyDescent="0.35">
      <c r="A4" s="7" t="s">
        <v>6</v>
      </c>
      <c r="B4">
        <v>25</v>
      </c>
      <c r="C4">
        <v>25</v>
      </c>
    </row>
    <row r="5" spans="1:13" x14ac:dyDescent="0.35">
      <c r="A5" s="7" t="s">
        <v>14</v>
      </c>
      <c r="B5">
        <v>27</v>
      </c>
      <c r="C5">
        <v>27</v>
      </c>
    </row>
    <row r="6" spans="1:13" x14ac:dyDescent="0.35">
      <c r="A6" s="7" t="s">
        <v>32</v>
      </c>
      <c r="B6">
        <v>30</v>
      </c>
      <c r="C6">
        <v>30</v>
      </c>
    </row>
    <row r="7" spans="1:13" x14ac:dyDescent="0.35">
      <c r="A7" s="7" t="s">
        <v>64</v>
      </c>
      <c r="B7">
        <v>34</v>
      </c>
      <c r="C7">
        <v>34</v>
      </c>
    </row>
    <row r="8" spans="1:13" x14ac:dyDescent="0.35">
      <c r="A8" s="7" t="s">
        <v>23</v>
      </c>
      <c r="B8">
        <v>20</v>
      </c>
      <c r="C8">
        <v>20</v>
      </c>
      <c r="L8" t="s">
        <v>287</v>
      </c>
      <c r="M8">
        <f>SUM(Sheet1!O:O)</f>
        <v>89007.93999999993</v>
      </c>
    </row>
    <row r="9" spans="1:13" x14ac:dyDescent="0.35">
      <c r="A9" s="7" t="s">
        <v>1</v>
      </c>
      <c r="B9">
        <v>32</v>
      </c>
      <c r="C9">
        <v>32</v>
      </c>
      <c r="L9" t="s">
        <v>288</v>
      </c>
      <c r="M9">
        <f>SUM(Sheet1!H:H)</f>
        <v>65551.159999999974</v>
      </c>
    </row>
    <row r="10" spans="1:13" x14ac:dyDescent="0.35">
      <c r="A10" s="7" t="s">
        <v>20</v>
      </c>
      <c r="B10">
        <v>32</v>
      </c>
      <c r="C10">
        <v>32</v>
      </c>
      <c r="L10" t="s">
        <v>289</v>
      </c>
      <c r="M10">
        <f>SUM(Sheet1!I:I)</f>
        <v>50173.98</v>
      </c>
    </row>
    <row r="11" spans="1:13" x14ac:dyDescent="0.35">
      <c r="A11" s="7" t="s">
        <v>280</v>
      </c>
      <c r="B11">
        <v>200</v>
      </c>
      <c r="C11">
        <v>200</v>
      </c>
    </row>
    <row r="21" spans="1:2" x14ac:dyDescent="0.35">
      <c r="A21" s="6" t="s">
        <v>279</v>
      </c>
      <c r="B21" t="s">
        <v>284</v>
      </c>
    </row>
    <row r="22" spans="1:2" x14ac:dyDescent="0.35">
      <c r="A22" s="7" t="s">
        <v>6</v>
      </c>
      <c r="B22">
        <v>7393.9</v>
      </c>
    </row>
    <row r="23" spans="1:2" x14ac:dyDescent="0.35">
      <c r="A23" s="7" t="s">
        <v>14</v>
      </c>
      <c r="B23">
        <v>7339.48</v>
      </c>
    </row>
    <row r="24" spans="1:2" x14ac:dyDescent="0.35">
      <c r="A24" s="7" t="s">
        <v>32</v>
      </c>
      <c r="B24">
        <v>7562.15</v>
      </c>
    </row>
    <row r="25" spans="1:2" x14ac:dyDescent="0.35">
      <c r="A25" s="7" t="s">
        <v>64</v>
      </c>
      <c r="B25">
        <v>8469.9999999999982</v>
      </c>
    </row>
    <row r="26" spans="1:2" x14ac:dyDescent="0.35">
      <c r="A26" s="7" t="s">
        <v>23</v>
      </c>
      <c r="B26">
        <v>4875.25</v>
      </c>
    </row>
    <row r="27" spans="1:2" x14ac:dyDescent="0.35">
      <c r="A27" s="7" t="s">
        <v>1</v>
      </c>
      <c r="B27">
        <v>6286.79</v>
      </c>
    </row>
    <row r="28" spans="1:2" x14ac:dyDescent="0.35">
      <c r="A28" s="7" t="s">
        <v>20</v>
      </c>
      <c r="B28">
        <v>8246.409999999998</v>
      </c>
    </row>
    <row r="29" spans="1:2" x14ac:dyDescent="0.35">
      <c r="A29" s="7" t="s">
        <v>280</v>
      </c>
      <c r="B29">
        <v>50173.979999999996</v>
      </c>
    </row>
    <row r="34" spans="1:3" x14ac:dyDescent="0.35">
      <c r="A34" s="6" t="s">
        <v>261</v>
      </c>
      <c r="B34" t="s">
        <v>286</v>
      </c>
    </row>
    <row r="36" spans="1:3" x14ac:dyDescent="0.35">
      <c r="A36" s="6" t="s">
        <v>279</v>
      </c>
      <c r="B36" t="s">
        <v>281</v>
      </c>
      <c r="C36" t="s">
        <v>282</v>
      </c>
    </row>
    <row r="37" spans="1:3" x14ac:dyDescent="0.35">
      <c r="A37" s="7" t="s">
        <v>3</v>
      </c>
      <c r="B37">
        <v>21</v>
      </c>
      <c r="C37">
        <v>21</v>
      </c>
    </row>
    <row r="38" spans="1:3" x14ac:dyDescent="0.35">
      <c r="A38" s="7" t="s">
        <v>60</v>
      </c>
      <c r="B38">
        <v>26</v>
      </c>
      <c r="C38">
        <v>26</v>
      </c>
    </row>
    <row r="39" spans="1:3" x14ac:dyDescent="0.35">
      <c r="A39" s="7" t="s">
        <v>43</v>
      </c>
      <c r="B39">
        <v>23</v>
      </c>
      <c r="C39">
        <v>23</v>
      </c>
    </row>
    <row r="40" spans="1:3" x14ac:dyDescent="0.35">
      <c r="A40" s="7" t="s">
        <v>11</v>
      </c>
      <c r="B40">
        <v>44</v>
      </c>
      <c r="C40">
        <v>44</v>
      </c>
    </row>
    <row r="41" spans="1:3" x14ac:dyDescent="0.35">
      <c r="A41" s="7" t="s">
        <v>17</v>
      </c>
      <c r="B41">
        <v>25</v>
      </c>
      <c r="C41">
        <v>25</v>
      </c>
    </row>
    <row r="42" spans="1:3" x14ac:dyDescent="0.35">
      <c r="A42" s="7" t="s">
        <v>37</v>
      </c>
      <c r="B42">
        <v>33</v>
      </c>
      <c r="C42">
        <v>33</v>
      </c>
    </row>
    <row r="43" spans="1:3" x14ac:dyDescent="0.35">
      <c r="A43" s="7" t="s">
        <v>26</v>
      </c>
      <c r="B43">
        <v>28</v>
      </c>
      <c r="C43">
        <v>28</v>
      </c>
    </row>
    <row r="44" spans="1:3" x14ac:dyDescent="0.35">
      <c r="A44" s="7" t="s">
        <v>280</v>
      </c>
      <c r="B44">
        <v>200</v>
      </c>
      <c r="C44">
        <v>200</v>
      </c>
    </row>
  </sheetData>
  <pageMargins left="0.7" right="0.7" top="0.75" bottom="0.75" header="0.3" footer="0.3"/>
  <pageSetup orientation="portrait" r:id="rId4"/>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5D6D2-F261-4C66-9047-048D1454420F}">
  <dimension ref="A3:C41"/>
  <sheetViews>
    <sheetView zoomScale="70" zoomScaleNormal="70" workbookViewId="0">
      <selection activeCell="L51" sqref="L51"/>
    </sheetView>
  </sheetViews>
  <sheetFormatPr defaultRowHeight="14.5" x14ac:dyDescent="0.35"/>
  <cols>
    <col min="1" max="1" width="16.453125" bestFit="1" customWidth="1"/>
    <col min="2" max="2" width="20.36328125" bestFit="1" customWidth="1"/>
    <col min="3" max="3" width="15.6328125" bestFit="1" customWidth="1"/>
  </cols>
  <sheetData>
    <row r="3" spans="1:2" x14ac:dyDescent="0.35">
      <c r="A3" s="6" t="s">
        <v>279</v>
      </c>
      <c r="B3" t="s">
        <v>285</v>
      </c>
    </row>
    <row r="4" spans="1:2" x14ac:dyDescent="0.35">
      <c r="A4" s="7" t="s">
        <v>18</v>
      </c>
      <c r="B4">
        <v>17044.7</v>
      </c>
    </row>
    <row r="5" spans="1:2" x14ac:dyDescent="0.35">
      <c r="A5" s="7" t="s">
        <v>12</v>
      </c>
      <c r="B5">
        <v>20842.570000000003</v>
      </c>
    </row>
    <row r="6" spans="1:2" x14ac:dyDescent="0.35">
      <c r="A6" s="7" t="s">
        <v>27</v>
      </c>
      <c r="B6">
        <v>18959.689999999999</v>
      </c>
    </row>
    <row r="7" spans="1:2" x14ac:dyDescent="0.35">
      <c r="A7" s="7" t="s">
        <v>38</v>
      </c>
      <c r="B7">
        <v>14344.82</v>
      </c>
    </row>
    <row r="8" spans="1:2" x14ac:dyDescent="0.35">
      <c r="A8" s="7" t="s">
        <v>4</v>
      </c>
      <c r="B8">
        <v>17816.16</v>
      </c>
    </row>
    <row r="9" spans="1:2" x14ac:dyDescent="0.35">
      <c r="A9" s="7" t="s">
        <v>280</v>
      </c>
      <c r="B9">
        <v>89007.94</v>
      </c>
    </row>
    <row r="22" spans="1:3" x14ac:dyDescent="0.35">
      <c r="B22" t="s">
        <v>281</v>
      </c>
      <c r="C22" t="s">
        <v>284</v>
      </c>
    </row>
    <row r="23" spans="1:3" x14ac:dyDescent="0.35">
      <c r="A23" s="7" t="s">
        <v>6</v>
      </c>
      <c r="B23">
        <v>25</v>
      </c>
      <c r="C23">
        <v>7393.9</v>
      </c>
    </row>
    <row r="24" spans="1:3" x14ac:dyDescent="0.35">
      <c r="A24" s="7" t="s">
        <v>14</v>
      </c>
      <c r="B24">
        <v>27</v>
      </c>
      <c r="C24">
        <v>7339.48</v>
      </c>
    </row>
    <row r="25" spans="1:3" x14ac:dyDescent="0.35">
      <c r="A25" s="7" t="s">
        <v>32</v>
      </c>
      <c r="B25">
        <v>30</v>
      </c>
      <c r="C25">
        <v>7562.15</v>
      </c>
    </row>
    <row r="26" spans="1:3" x14ac:dyDescent="0.35">
      <c r="A26" s="7" t="s">
        <v>64</v>
      </c>
      <c r="B26">
        <v>34</v>
      </c>
      <c r="C26">
        <v>8469.9999999999982</v>
      </c>
    </row>
    <row r="27" spans="1:3" x14ac:dyDescent="0.35">
      <c r="A27" s="7" t="s">
        <v>23</v>
      </c>
      <c r="B27">
        <v>20</v>
      </c>
      <c r="C27">
        <v>4875.25</v>
      </c>
    </row>
    <row r="28" spans="1:3" x14ac:dyDescent="0.35">
      <c r="A28" s="7" t="s">
        <v>1</v>
      </c>
      <c r="B28">
        <v>32</v>
      </c>
      <c r="C28">
        <v>6286.79</v>
      </c>
    </row>
    <row r="29" spans="1:3" x14ac:dyDescent="0.35">
      <c r="A29" s="7" t="s">
        <v>20</v>
      </c>
      <c r="B29">
        <v>32</v>
      </c>
      <c r="C29">
        <v>8246.409999999998</v>
      </c>
    </row>
    <row r="30" spans="1:3" x14ac:dyDescent="0.35">
      <c r="A30" s="7" t="s">
        <v>280</v>
      </c>
      <c r="B30">
        <v>200</v>
      </c>
      <c r="C30">
        <v>50173.979999999996</v>
      </c>
    </row>
    <row r="38" spans="1:2" x14ac:dyDescent="0.35">
      <c r="A38" s="6" t="s">
        <v>279</v>
      </c>
      <c r="B38" t="s">
        <v>283</v>
      </c>
    </row>
    <row r="39" spans="1:2" x14ac:dyDescent="0.35">
      <c r="A39" s="7" t="s">
        <v>14</v>
      </c>
      <c r="B39">
        <v>159</v>
      </c>
    </row>
    <row r="40" spans="1:2" x14ac:dyDescent="0.35">
      <c r="A40" s="7" t="s">
        <v>32</v>
      </c>
      <c r="B40">
        <v>184</v>
      </c>
    </row>
    <row r="41" spans="1:2" x14ac:dyDescent="0.35">
      <c r="A41" s="7" t="s">
        <v>280</v>
      </c>
      <c r="B41">
        <v>343</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2235-7EB9-43F5-9DD2-A2058A828B7F}">
  <sheetPr codeName="Sheet1"/>
  <dimension ref="A1:V201"/>
  <sheetViews>
    <sheetView topLeftCell="A2" workbookViewId="0">
      <selection activeCell="B9" sqref="B9"/>
    </sheetView>
  </sheetViews>
  <sheetFormatPr defaultRowHeight="14.5" x14ac:dyDescent="0.35"/>
  <cols>
    <col min="1" max="1" width="13.1796875" bestFit="1" customWidth="1"/>
    <col min="2" max="2" width="15.26953125" style="3" bestFit="1" customWidth="1"/>
    <col min="3" max="3" width="18.26953125" customWidth="1"/>
    <col min="4" max="4" width="15.54296875" customWidth="1"/>
    <col min="7" max="7" width="16.453125" customWidth="1"/>
    <col min="8" max="8" width="13.26953125" customWidth="1"/>
    <col min="9" max="9" width="11.7265625" customWidth="1"/>
    <col min="10" max="10" width="14.1796875" customWidth="1"/>
    <col min="11" max="11" width="20" customWidth="1"/>
    <col min="12" max="12" width="16.453125" customWidth="1"/>
    <col min="13" max="13" width="17.453125" bestFit="1" customWidth="1"/>
    <col min="14" max="14" width="17.81640625" bestFit="1" customWidth="1"/>
    <col min="16" max="16" width="11.7265625" bestFit="1" customWidth="1"/>
    <col min="18" max="19" width="18.1796875" customWidth="1"/>
    <col min="21" max="21" width="14.90625" bestFit="1" customWidth="1"/>
  </cols>
  <sheetData>
    <row r="1" spans="1:22" ht="18.5" x14ac:dyDescent="0.45">
      <c r="A1" s="1" t="s">
        <v>261</v>
      </c>
      <c r="B1" s="2" t="s">
        <v>262</v>
      </c>
      <c r="C1" s="1" t="s">
        <v>263</v>
      </c>
      <c r="D1" s="1" t="s">
        <v>264</v>
      </c>
      <c r="E1" s="1" t="s">
        <v>265</v>
      </c>
      <c r="F1" s="1" t="s">
        <v>266</v>
      </c>
      <c r="G1" s="1" t="s">
        <v>267</v>
      </c>
      <c r="H1" s="1" t="s">
        <v>268</v>
      </c>
      <c r="I1" s="1" t="s">
        <v>269</v>
      </c>
      <c r="J1" s="1" t="s">
        <v>270</v>
      </c>
      <c r="K1" s="1" t="s">
        <v>271</v>
      </c>
      <c r="L1" s="1" t="s">
        <v>272</v>
      </c>
      <c r="M1" s="1" t="s">
        <v>273</v>
      </c>
      <c r="N1" s="1" t="s">
        <v>274</v>
      </c>
      <c r="O1" s="1" t="s">
        <v>275</v>
      </c>
      <c r="P1" s="1" t="s">
        <v>277</v>
      </c>
      <c r="R1" s="9" t="s">
        <v>276</v>
      </c>
      <c r="S1" s="9"/>
      <c r="U1" s="9" t="s">
        <v>278</v>
      </c>
      <c r="V1" s="9"/>
    </row>
    <row r="2" spans="1:22" x14ac:dyDescent="0.35">
      <c r="A2" t="s">
        <v>0</v>
      </c>
      <c r="B2" s="3">
        <v>44971</v>
      </c>
      <c r="C2" t="s">
        <v>1</v>
      </c>
      <c r="D2" t="s">
        <v>2</v>
      </c>
      <c r="E2" t="s">
        <v>3</v>
      </c>
      <c r="F2" t="s">
        <v>3</v>
      </c>
      <c r="G2">
        <v>5</v>
      </c>
      <c r="H2">
        <v>150.26</v>
      </c>
      <c r="I2">
        <v>130</v>
      </c>
      <c r="J2">
        <v>0</v>
      </c>
      <c r="K2">
        <v>96</v>
      </c>
      <c r="L2" t="s">
        <v>4</v>
      </c>
      <c r="M2">
        <v>751.3</v>
      </c>
      <c r="N2">
        <v>650</v>
      </c>
      <c r="O2">
        <v>101.29999999999995</v>
      </c>
      <c r="P2">
        <f t="shared" ref="P2:P33" si="0">M2*$Q$2</f>
        <v>135.23399999999998</v>
      </c>
      <c r="Q2">
        <v>0.18</v>
      </c>
    </row>
    <row r="3" spans="1:22" x14ac:dyDescent="0.35">
      <c r="A3" t="s">
        <v>5</v>
      </c>
      <c r="B3" s="3">
        <v>45028</v>
      </c>
      <c r="C3" t="s">
        <v>6</v>
      </c>
      <c r="D3" t="s">
        <v>7</v>
      </c>
      <c r="E3" t="s">
        <v>3</v>
      </c>
      <c r="F3" t="s">
        <v>3</v>
      </c>
      <c r="G3">
        <v>1</v>
      </c>
      <c r="H3">
        <v>66.7</v>
      </c>
      <c r="I3">
        <v>55.91</v>
      </c>
      <c r="J3">
        <v>20</v>
      </c>
      <c r="K3">
        <v>13</v>
      </c>
      <c r="L3" t="s">
        <v>4</v>
      </c>
      <c r="M3">
        <v>66.7</v>
      </c>
      <c r="N3">
        <v>55.91</v>
      </c>
      <c r="O3">
        <v>10.790000000000006</v>
      </c>
      <c r="P3">
        <f t="shared" si="0"/>
        <v>12.006</v>
      </c>
      <c r="R3" t="s">
        <v>261</v>
      </c>
      <c r="S3" t="s">
        <v>268</v>
      </c>
    </row>
    <row r="4" spans="1:22" x14ac:dyDescent="0.35">
      <c r="A4" t="s">
        <v>8</v>
      </c>
      <c r="B4" s="3">
        <v>45284</v>
      </c>
      <c r="C4" t="s">
        <v>1</v>
      </c>
      <c r="D4" t="s">
        <v>9</v>
      </c>
      <c r="E4" t="s">
        <v>10</v>
      </c>
      <c r="F4" t="s">
        <v>11</v>
      </c>
      <c r="G4">
        <v>4</v>
      </c>
      <c r="H4">
        <v>278.73</v>
      </c>
      <c r="I4">
        <v>230.11</v>
      </c>
      <c r="J4">
        <v>0</v>
      </c>
      <c r="K4">
        <v>107</v>
      </c>
      <c r="L4" t="s">
        <v>12</v>
      </c>
      <c r="M4">
        <v>1114.92</v>
      </c>
      <c r="N4">
        <v>920.44</v>
      </c>
      <c r="O4">
        <v>194.48000000000002</v>
      </c>
      <c r="P4">
        <f t="shared" si="0"/>
        <v>200.68559999999999</v>
      </c>
      <c r="R4" t="s">
        <v>0</v>
      </c>
      <c r="S4">
        <f t="shared" ref="S4:S7" si="1">VLOOKUP(R4,A1:H8,8,FALSE)</f>
        <v>150.26</v>
      </c>
      <c r="U4" s="4"/>
    </row>
    <row r="5" spans="1:22" x14ac:dyDescent="0.35">
      <c r="A5" t="s">
        <v>13</v>
      </c>
      <c r="B5" s="3">
        <v>44976</v>
      </c>
      <c r="C5" t="s">
        <v>14</v>
      </c>
      <c r="D5" t="s">
        <v>15</v>
      </c>
      <c r="E5" t="s">
        <v>16</v>
      </c>
      <c r="F5" t="s">
        <v>17</v>
      </c>
      <c r="G5">
        <v>3</v>
      </c>
      <c r="H5">
        <v>162.32</v>
      </c>
      <c r="I5">
        <v>115.5</v>
      </c>
      <c r="J5">
        <v>0</v>
      </c>
      <c r="K5">
        <v>21</v>
      </c>
      <c r="L5" t="s">
        <v>18</v>
      </c>
      <c r="M5">
        <v>486.96</v>
      </c>
      <c r="N5">
        <v>346.5</v>
      </c>
      <c r="O5">
        <v>140.45999999999998</v>
      </c>
      <c r="P5">
        <f t="shared" si="0"/>
        <v>87.652799999999999</v>
      </c>
      <c r="R5" t="s">
        <v>5</v>
      </c>
      <c r="S5">
        <f t="shared" si="1"/>
        <v>66.7</v>
      </c>
      <c r="U5" s="5"/>
    </row>
    <row r="6" spans="1:22" x14ac:dyDescent="0.35">
      <c r="A6" t="s">
        <v>19</v>
      </c>
      <c r="B6" s="3">
        <v>45077</v>
      </c>
      <c r="C6" t="s">
        <v>20</v>
      </c>
      <c r="D6" t="s">
        <v>21</v>
      </c>
      <c r="E6" t="s">
        <v>16</v>
      </c>
      <c r="F6" t="s">
        <v>17</v>
      </c>
      <c r="G6">
        <v>1</v>
      </c>
      <c r="H6">
        <v>483.17</v>
      </c>
      <c r="I6">
        <v>367.57</v>
      </c>
      <c r="J6">
        <v>15</v>
      </c>
      <c r="K6">
        <v>20</v>
      </c>
      <c r="L6" t="s">
        <v>4</v>
      </c>
      <c r="M6">
        <v>483.17</v>
      </c>
      <c r="N6">
        <v>367.57</v>
      </c>
      <c r="O6">
        <v>115.60000000000002</v>
      </c>
      <c r="P6">
        <f t="shared" si="0"/>
        <v>86.970600000000005</v>
      </c>
      <c r="R6" t="s">
        <v>8</v>
      </c>
      <c r="S6">
        <f t="shared" si="1"/>
        <v>278.73</v>
      </c>
      <c r="U6" s="4"/>
    </row>
    <row r="7" spans="1:22" x14ac:dyDescent="0.35">
      <c r="A7" t="s">
        <v>22</v>
      </c>
      <c r="B7" s="3">
        <v>44967</v>
      </c>
      <c r="C7" t="s">
        <v>23</v>
      </c>
      <c r="D7" t="s">
        <v>24</v>
      </c>
      <c r="E7" t="s">
        <v>25</v>
      </c>
      <c r="F7" t="s">
        <v>26</v>
      </c>
      <c r="G7">
        <v>10</v>
      </c>
      <c r="H7">
        <v>117.54</v>
      </c>
      <c r="I7">
        <v>104.22</v>
      </c>
      <c r="J7">
        <v>5</v>
      </c>
      <c r="K7">
        <v>108</v>
      </c>
      <c r="L7" t="s">
        <v>27</v>
      </c>
      <c r="M7">
        <v>1175.4000000000001</v>
      </c>
      <c r="N7">
        <v>1042.2</v>
      </c>
      <c r="O7">
        <v>133.20000000000005</v>
      </c>
      <c r="P7">
        <f t="shared" si="0"/>
        <v>211.572</v>
      </c>
      <c r="R7" t="s">
        <v>13</v>
      </c>
      <c r="S7">
        <f t="shared" si="1"/>
        <v>162.32</v>
      </c>
      <c r="U7" s="4"/>
    </row>
    <row r="8" spans="1:22" x14ac:dyDescent="0.35">
      <c r="A8" t="s">
        <v>28</v>
      </c>
      <c r="B8" s="3">
        <v>45108</v>
      </c>
      <c r="C8" t="s">
        <v>23</v>
      </c>
      <c r="D8" t="s">
        <v>29</v>
      </c>
      <c r="E8" t="s">
        <v>30</v>
      </c>
      <c r="F8" t="s">
        <v>11</v>
      </c>
      <c r="G8">
        <v>7</v>
      </c>
      <c r="H8">
        <v>198.01</v>
      </c>
      <c r="I8">
        <v>146.21</v>
      </c>
      <c r="J8">
        <v>10</v>
      </c>
      <c r="K8">
        <v>30</v>
      </c>
      <c r="L8" t="s">
        <v>27</v>
      </c>
      <c r="M8">
        <v>1386.07</v>
      </c>
      <c r="N8">
        <v>1023.47</v>
      </c>
      <c r="O8">
        <v>362.59999999999991</v>
      </c>
      <c r="P8">
        <f t="shared" si="0"/>
        <v>249.49259999999998</v>
      </c>
    </row>
    <row r="9" spans="1:22" x14ac:dyDescent="0.35">
      <c r="A9" t="s">
        <v>31</v>
      </c>
      <c r="B9" s="3">
        <v>45121</v>
      </c>
      <c r="C9" t="s">
        <v>32</v>
      </c>
      <c r="D9" t="s">
        <v>33</v>
      </c>
      <c r="E9" t="s">
        <v>30</v>
      </c>
      <c r="F9" t="s">
        <v>11</v>
      </c>
      <c r="G9">
        <v>10</v>
      </c>
      <c r="H9">
        <v>421.87</v>
      </c>
      <c r="I9">
        <v>321.14</v>
      </c>
      <c r="J9">
        <v>5</v>
      </c>
      <c r="K9">
        <v>30</v>
      </c>
      <c r="L9" t="s">
        <v>18</v>
      </c>
      <c r="M9">
        <v>4218.7</v>
      </c>
      <c r="N9">
        <v>3211.3999999999996</v>
      </c>
      <c r="O9">
        <v>1007.3000000000002</v>
      </c>
      <c r="P9">
        <f t="shared" si="0"/>
        <v>759.36599999999999</v>
      </c>
      <c r="R9" t="s">
        <v>262</v>
      </c>
      <c r="S9" t="s">
        <v>275</v>
      </c>
    </row>
    <row r="10" spans="1:22" x14ac:dyDescent="0.35">
      <c r="A10" t="s">
        <v>34</v>
      </c>
      <c r="B10" s="3">
        <v>45088</v>
      </c>
      <c r="C10" t="s">
        <v>20</v>
      </c>
      <c r="D10" t="s">
        <v>35</v>
      </c>
      <c r="E10" t="s">
        <v>36</v>
      </c>
      <c r="F10" t="s">
        <v>37</v>
      </c>
      <c r="G10">
        <v>6</v>
      </c>
      <c r="H10">
        <v>596.6</v>
      </c>
      <c r="I10">
        <v>423</v>
      </c>
      <c r="J10">
        <v>5</v>
      </c>
      <c r="K10">
        <v>115</v>
      </c>
      <c r="L10" t="s">
        <v>38</v>
      </c>
      <c r="M10">
        <v>3579.6000000000004</v>
      </c>
      <c r="N10">
        <v>2538</v>
      </c>
      <c r="O10">
        <v>1041.6000000000004</v>
      </c>
      <c r="P10">
        <f t="shared" si="0"/>
        <v>644.32800000000009</v>
      </c>
      <c r="R10" s="3">
        <v>44971</v>
      </c>
      <c r="S10">
        <f>VLOOKUP(R10,B1:O7,14,0)</f>
        <v>101.29999999999995</v>
      </c>
    </row>
    <row r="11" spans="1:22" x14ac:dyDescent="0.35">
      <c r="A11" t="s">
        <v>39</v>
      </c>
      <c r="B11" s="3">
        <v>45129</v>
      </c>
      <c r="C11" t="s">
        <v>14</v>
      </c>
      <c r="D11" t="s">
        <v>15</v>
      </c>
      <c r="E11" t="s">
        <v>30</v>
      </c>
      <c r="F11" t="s">
        <v>11</v>
      </c>
      <c r="G11">
        <v>4</v>
      </c>
      <c r="H11">
        <v>606.96</v>
      </c>
      <c r="I11">
        <v>457.44</v>
      </c>
      <c r="J11">
        <v>10</v>
      </c>
      <c r="K11">
        <v>37</v>
      </c>
      <c r="L11" t="s">
        <v>18</v>
      </c>
      <c r="M11">
        <v>2427.84</v>
      </c>
      <c r="N11">
        <v>1829.76</v>
      </c>
      <c r="O11">
        <v>598.08000000000015</v>
      </c>
      <c r="P11">
        <f t="shared" si="0"/>
        <v>437.01120000000003</v>
      </c>
      <c r="R11" s="3">
        <v>45028</v>
      </c>
      <c r="S11">
        <f t="shared" ref="S11:S13" si="2">VLOOKUP(R11,B2:O8,14,0)</f>
        <v>10.790000000000006</v>
      </c>
    </row>
    <row r="12" spans="1:22" x14ac:dyDescent="0.35">
      <c r="A12" t="s">
        <v>40</v>
      </c>
      <c r="B12" s="3">
        <v>45146</v>
      </c>
      <c r="C12" t="s">
        <v>1</v>
      </c>
      <c r="D12" t="s">
        <v>41</v>
      </c>
      <c r="E12" t="s">
        <v>42</v>
      </c>
      <c r="F12" t="s">
        <v>43</v>
      </c>
      <c r="G12">
        <v>5</v>
      </c>
      <c r="H12">
        <v>109.63</v>
      </c>
      <c r="I12">
        <v>78.42</v>
      </c>
      <c r="J12">
        <v>20</v>
      </c>
      <c r="K12">
        <v>43</v>
      </c>
      <c r="L12" t="s">
        <v>4</v>
      </c>
      <c r="M12">
        <v>548.15</v>
      </c>
      <c r="N12">
        <v>392.1</v>
      </c>
      <c r="O12">
        <v>156.04999999999995</v>
      </c>
      <c r="P12">
        <f t="shared" si="0"/>
        <v>98.666999999999987</v>
      </c>
      <c r="R12" s="3">
        <v>45284</v>
      </c>
      <c r="S12">
        <f t="shared" si="2"/>
        <v>194.48000000000002</v>
      </c>
    </row>
    <row r="13" spans="1:22" x14ac:dyDescent="0.35">
      <c r="A13" t="s">
        <v>44</v>
      </c>
      <c r="B13" s="3">
        <v>44983</v>
      </c>
      <c r="C13" t="s">
        <v>6</v>
      </c>
      <c r="D13" t="s">
        <v>7</v>
      </c>
      <c r="E13" t="s">
        <v>25</v>
      </c>
      <c r="F13" t="s">
        <v>26</v>
      </c>
      <c r="G13">
        <v>4</v>
      </c>
      <c r="H13">
        <v>576.15</v>
      </c>
      <c r="I13">
        <v>498.69</v>
      </c>
      <c r="J13">
        <v>15</v>
      </c>
      <c r="K13">
        <v>21</v>
      </c>
      <c r="L13" t="s">
        <v>38</v>
      </c>
      <c r="M13">
        <v>2304.6</v>
      </c>
      <c r="N13">
        <v>1994.76</v>
      </c>
      <c r="O13">
        <v>309.83999999999992</v>
      </c>
      <c r="P13">
        <f t="shared" si="0"/>
        <v>414.82799999999997</v>
      </c>
      <c r="R13" s="3">
        <v>44976</v>
      </c>
      <c r="S13">
        <f t="shared" si="2"/>
        <v>140.45999999999998</v>
      </c>
    </row>
    <row r="14" spans="1:22" x14ac:dyDescent="0.35">
      <c r="A14" t="s">
        <v>45</v>
      </c>
      <c r="B14" s="3">
        <v>45210</v>
      </c>
      <c r="C14" t="s">
        <v>32</v>
      </c>
      <c r="D14" t="s">
        <v>46</v>
      </c>
      <c r="E14" t="s">
        <v>10</v>
      </c>
      <c r="F14" t="s">
        <v>11</v>
      </c>
      <c r="G14">
        <v>10</v>
      </c>
      <c r="H14">
        <v>51.52</v>
      </c>
      <c r="I14">
        <v>41.13</v>
      </c>
      <c r="J14">
        <v>15</v>
      </c>
      <c r="K14">
        <v>77</v>
      </c>
      <c r="L14" t="s">
        <v>27</v>
      </c>
      <c r="M14">
        <v>515.20000000000005</v>
      </c>
      <c r="N14">
        <v>411.3</v>
      </c>
      <c r="O14">
        <v>103.90000000000003</v>
      </c>
      <c r="P14">
        <f t="shared" si="0"/>
        <v>92.736000000000004</v>
      </c>
    </row>
    <row r="15" spans="1:22" x14ac:dyDescent="0.35">
      <c r="A15" t="s">
        <v>47</v>
      </c>
      <c r="B15" s="3">
        <v>45149</v>
      </c>
      <c r="C15" t="s">
        <v>23</v>
      </c>
      <c r="D15" t="s">
        <v>48</v>
      </c>
      <c r="E15" t="s">
        <v>30</v>
      </c>
      <c r="F15" t="s">
        <v>11</v>
      </c>
      <c r="G15">
        <v>9</v>
      </c>
      <c r="H15">
        <v>531.91</v>
      </c>
      <c r="I15">
        <v>377.93</v>
      </c>
      <c r="J15">
        <v>10</v>
      </c>
      <c r="K15">
        <v>24</v>
      </c>
      <c r="L15" t="s">
        <v>27</v>
      </c>
      <c r="M15">
        <v>4787.1899999999996</v>
      </c>
      <c r="N15">
        <v>3401.37</v>
      </c>
      <c r="O15">
        <v>1385.8199999999997</v>
      </c>
      <c r="P15">
        <f t="shared" si="0"/>
        <v>861.69419999999991</v>
      </c>
      <c r="R15" t="s">
        <v>263</v>
      </c>
      <c r="S15" t="s">
        <v>270</v>
      </c>
    </row>
    <row r="16" spans="1:22" x14ac:dyDescent="0.35">
      <c r="A16" t="s">
        <v>49</v>
      </c>
      <c r="B16" s="3">
        <v>45254</v>
      </c>
      <c r="C16" t="s">
        <v>32</v>
      </c>
      <c r="D16" t="s">
        <v>50</v>
      </c>
      <c r="E16" t="s">
        <v>3</v>
      </c>
      <c r="F16" t="s">
        <v>3</v>
      </c>
      <c r="G16">
        <v>5</v>
      </c>
      <c r="H16">
        <v>683.05</v>
      </c>
      <c r="I16">
        <v>486.23</v>
      </c>
      <c r="J16">
        <v>20</v>
      </c>
      <c r="K16">
        <v>23</v>
      </c>
      <c r="L16" t="s">
        <v>27</v>
      </c>
      <c r="M16">
        <v>3415.25</v>
      </c>
      <c r="N16">
        <v>2431.15</v>
      </c>
      <c r="O16">
        <v>984.09999999999991</v>
      </c>
      <c r="P16">
        <f t="shared" si="0"/>
        <v>614.745</v>
      </c>
      <c r="R16" t="s">
        <v>1</v>
      </c>
      <c r="S16">
        <f>VLOOKUP(R16,C1:J7,8,FALSE)</f>
        <v>0</v>
      </c>
    </row>
    <row r="17" spans="1:19" x14ac:dyDescent="0.35">
      <c r="A17" t="s">
        <v>51</v>
      </c>
      <c r="B17" s="3">
        <v>45092</v>
      </c>
      <c r="C17" t="s">
        <v>6</v>
      </c>
      <c r="D17" t="s">
        <v>52</v>
      </c>
      <c r="E17" t="s">
        <v>36</v>
      </c>
      <c r="F17" t="s">
        <v>37</v>
      </c>
      <c r="G17">
        <v>3</v>
      </c>
      <c r="H17">
        <v>225.03</v>
      </c>
      <c r="I17">
        <v>193.22</v>
      </c>
      <c r="J17">
        <v>20</v>
      </c>
      <c r="K17">
        <v>10</v>
      </c>
      <c r="L17" t="s">
        <v>4</v>
      </c>
      <c r="M17">
        <v>675.09</v>
      </c>
      <c r="N17">
        <v>579.66</v>
      </c>
      <c r="O17">
        <v>95.430000000000064</v>
      </c>
      <c r="P17">
        <f t="shared" si="0"/>
        <v>121.5162</v>
      </c>
      <c r="R17" t="s">
        <v>6</v>
      </c>
      <c r="S17">
        <f t="shared" ref="S17:S19" si="3">VLOOKUP(R17,C2:J8,8,FALSE)</f>
        <v>20</v>
      </c>
    </row>
    <row r="18" spans="1:19" x14ac:dyDescent="0.35">
      <c r="A18" t="s">
        <v>53</v>
      </c>
      <c r="B18" s="3">
        <v>45050</v>
      </c>
      <c r="C18" t="s">
        <v>14</v>
      </c>
      <c r="D18" t="s">
        <v>54</v>
      </c>
      <c r="E18" t="s">
        <v>30</v>
      </c>
      <c r="F18" t="s">
        <v>11</v>
      </c>
      <c r="G18">
        <v>6</v>
      </c>
      <c r="H18">
        <v>631.19000000000005</v>
      </c>
      <c r="I18">
        <v>440.57</v>
      </c>
      <c r="J18">
        <v>10</v>
      </c>
      <c r="K18">
        <v>40</v>
      </c>
      <c r="L18" t="s">
        <v>38</v>
      </c>
      <c r="M18">
        <v>3787.1400000000003</v>
      </c>
      <c r="N18">
        <v>2643.42</v>
      </c>
      <c r="O18">
        <v>1143.7200000000003</v>
      </c>
      <c r="P18">
        <f t="shared" si="0"/>
        <v>681.68520000000001</v>
      </c>
      <c r="R18" t="s">
        <v>1</v>
      </c>
      <c r="S18">
        <f t="shared" si="3"/>
        <v>0</v>
      </c>
    </row>
    <row r="19" spans="1:19" x14ac:dyDescent="0.35">
      <c r="A19" t="s">
        <v>55</v>
      </c>
      <c r="B19" s="3">
        <v>44992</v>
      </c>
      <c r="C19" t="s">
        <v>6</v>
      </c>
      <c r="D19" t="s">
        <v>56</v>
      </c>
      <c r="E19" t="s">
        <v>30</v>
      </c>
      <c r="F19" t="s">
        <v>11</v>
      </c>
      <c r="G19">
        <v>8</v>
      </c>
      <c r="H19">
        <v>611.16999999999996</v>
      </c>
      <c r="I19">
        <v>409.85</v>
      </c>
      <c r="J19">
        <v>20</v>
      </c>
      <c r="K19">
        <v>108</v>
      </c>
      <c r="L19" t="s">
        <v>12</v>
      </c>
      <c r="M19">
        <v>4889.3599999999997</v>
      </c>
      <c r="N19">
        <v>3278.8</v>
      </c>
      <c r="O19">
        <v>1610.5599999999995</v>
      </c>
      <c r="P19">
        <f t="shared" si="0"/>
        <v>880.08479999999986</v>
      </c>
      <c r="R19" t="s">
        <v>14</v>
      </c>
      <c r="S19">
        <f t="shared" si="3"/>
        <v>0</v>
      </c>
    </row>
    <row r="20" spans="1:19" x14ac:dyDescent="0.35">
      <c r="A20" t="s">
        <v>57</v>
      </c>
      <c r="B20" s="3">
        <v>45086</v>
      </c>
      <c r="C20" t="s">
        <v>1</v>
      </c>
      <c r="D20" t="s">
        <v>41</v>
      </c>
      <c r="E20" t="s">
        <v>42</v>
      </c>
      <c r="F20" t="s">
        <v>43</v>
      </c>
      <c r="G20">
        <v>5</v>
      </c>
      <c r="H20">
        <v>360.58</v>
      </c>
      <c r="I20">
        <v>268.56</v>
      </c>
      <c r="J20">
        <v>5</v>
      </c>
      <c r="K20">
        <v>79</v>
      </c>
      <c r="L20" t="s">
        <v>12</v>
      </c>
      <c r="M20">
        <v>1802.8999999999999</v>
      </c>
      <c r="N20">
        <v>1342.8</v>
      </c>
      <c r="O20">
        <v>460.09999999999991</v>
      </c>
      <c r="P20">
        <f t="shared" si="0"/>
        <v>324.52199999999999</v>
      </c>
    </row>
    <row r="21" spans="1:19" x14ac:dyDescent="0.35">
      <c r="A21" t="s">
        <v>58</v>
      </c>
      <c r="B21" s="3">
        <v>45228</v>
      </c>
      <c r="C21" t="s">
        <v>14</v>
      </c>
      <c r="D21" t="s">
        <v>15</v>
      </c>
      <c r="E21" t="s">
        <v>59</v>
      </c>
      <c r="F21" t="s">
        <v>60</v>
      </c>
      <c r="G21">
        <v>9</v>
      </c>
      <c r="H21">
        <v>277.27999999999997</v>
      </c>
      <c r="I21">
        <v>231.23</v>
      </c>
      <c r="J21">
        <v>0</v>
      </c>
      <c r="K21">
        <v>53</v>
      </c>
      <c r="L21" t="s">
        <v>38</v>
      </c>
      <c r="M21">
        <v>2495.5199999999995</v>
      </c>
      <c r="N21">
        <v>2081.0699999999997</v>
      </c>
      <c r="O21">
        <v>414.44999999999982</v>
      </c>
      <c r="P21">
        <f t="shared" si="0"/>
        <v>449.19359999999989</v>
      </c>
      <c r="R21" t="s">
        <v>265</v>
      </c>
      <c r="S21" t="s">
        <v>273</v>
      </c>
    </row>
    <row r="22" spans="1:19" x14ac:dyDescent="0.35">
      <c r="A22" t="s">
        <v>61</v>
      </c>
      <c r="B22" s="3">
        <v>45096</v>
      </c>
      <c r="C22" t="s">
        <v>6</v>
      </c>
      <c r="D22" t="s">
        <v>62</v>
      </c>
      <c r="E22" t="s">
        <v>36</v>
      </c>
      <c r="F22" t="s">
        <v>37</v>
      </c>
      <c r="G22">
        <v>1</v>
      </c>
      <c r="H22">
        <v>60.58</v>
      </c>
      <c r="I22">
        <v>44.79</v>
      </c>
      <c r="J22">
        <v>5</v>
      </c>
      <c r="K22">
        <v>18</v>
      </c>
      <c r="L22" t="s">
        <v>38</v>
      </c>
      <c r="M22">
        <v>60.58</v>
      </c>
      <c r="N22">
        <v>44.79</v>
      </c>
      <c r="O22">
        <v>15.79</v>
      </c>
      <c r="P22">
        <f t="shared" si="0"/>
        <v>10.904399999999999</v>
      </c>
      <c r="R22" t="s">
        <v>3</v>
      </c>
      <c r="S22">
        <f>VLOOKUP(R22,E1:M12,9,0)</f>
        <v>751.3</v>
      </c>
    </row>
    <row r="23" spans="1:19" x14ac:dyDescent="0.35">
      <c r="A23" t="s">
        <v>63</v>
      </c>
      <c r="B23" s="3">
        <v>45222</v>
      </c>
      <c r="C23" t="s">
        <v>64</v>
      </c>
      <c r="D23" t="s">
        <v>65</v>
      </c>
      <c r="E23" t="s">
        <v>36</v>
      </c>
      <c r="F23" t="s">
        <v>37</v>
      </c>
      <c r="G23">
        <v>5</v>
      </c>
      <c r="H23">
        <v>400.53</v>
      </c>
      <c r="I23">
        <v>337.8</v>
      </c>
      <c r="J23">
        <v>5</v>
      </c>
      <c r="K23">
        <v>102</v>
      </c>
      <c r="L23" t="s">
        <v>4</v>
      </c>
      <c r="M23">
        <v>2002.6499999999999</v>
      </c>
      <c r="N23">
        <v>1689</v>
      </c>
      <c r="O23">
        <v>313.64999999999986</v>
      </c>
      <c r="P23">
        <f t="shared" si="0"/>
        <v>360.47699999999998</v>
      </c>
      <c r="R23" t="s">
        <v>10</v>
      </c>
      <c r="S23">
        <f t="shared" ref="S23:S25" si="4">VLOOKUP(R23,E2:M13,9,0)</f>
        <v>1114.92</v>
      </c>
    </row>
    <row r="24" spans="1:19" x14ac:dyDescent="0.35">
      <c r="A24" t="s">
        <v>66</v>
      </c>
      <c r="B24" s="3">
        <v>45137</v>
      </c>
      <c r="C24" t="s">
        <v>14</v>
      </c>
      <c r="D24" t="s">
        <v>67</v>
      </c>
      <c r="E24" t="s">
        <v>59</v>
      </c>
      <c r="F24" t="s">
        <v>60</v>
      </c>
      <c r="G24">
        <v>7</v>
      </c>
      <c r="H24">
        <v>117.64</v>
      </c>
      <c r="I24">
        <v>103.3</v>
      </c>
      <c r="J24">
        <v>15</v>
      </c>
      <c r="K24">
        <v>55</v>
      </c>
      <c r="L24" t="s">
        <v>18</v>
      </c>
      <c r="M24">
        <v>823.48</v>
      </c>
      <c r="N24">
        <v>723.1</v>
      </c>
      <c r="O24">
        <v>100.38</v>
      </c>
      <c r="P24">
        <f t="shared" si="0"/>
        <v>148.22639999999998</v>
      </c>
      <c r="R24" t="s">
        <v>16</v>
      </c>
      <c r="S24">
        <f t="shared" si="4"/>
        <v>486.96</v>
      </c>
    </row>
    <row r="25" spans="1:19" x14ac:dyDescent="0.35">
      <c r="A25" t="s">
        <v>68</v>
      </c>
      <c r="B25" s="3">
        <v>45024</v>
      </c>
      <c r="C25" t="s">
        <v>14</v>
      </c>
      <c r="D25" t="s">
        <v>54</v>
      </c>
      <c r="E25" t="s">
        <v>30</v>
      </c>
      <c r="F25" t="s">
        <v>11</v>
      </c>
      <c r="G25">
        <v>1</v>
      </c>
      <c r="H25">
        <v>256.14</v>
      </c>
      <c r="I25">
        <v>207.28</v>
      </c>
      <c r="J25">
        <v>0</v>
      </c>
      <c r="K25">
        <v>41</v>
      </c>
      <c r="L25" t="s">
        <v>12</v>
      </c>
      <c r="M25">
        <v>256.14</v>
      </c>
      <c r="N25">
        <v>207.28</v>
      </c>
      <c r="O25">
        <v>48.859999999999985</v>
      </c>
      <c r="P25">
        <f t="shared" si="0"/>
        <v>46.105199999999996</v>
      </c>
      <c r="R25" t="s">
        <v>16</v>
      </c>
      <c r="S25">
        <f t="shared" si="4"/>
        <v>486.96</v>
      </c>
    </row>
    <row r="26" spans="1:19" x14ac:dyDescent="0.35">
      <c r="A26" t="s">
        <v>69</v>
      </c>
      <c r="B26" s="3">
        <v>44977</v>
      </c>
      <c r="C26" t="s">
        <v>6</v>
      </c>
      <c r="D26" t="s">
        <v>7</v>
      </c>
      <c r="E26" t="s">
        <v>42</v>
      </c>
      <c r="F26" t="s">
        <v>43</v>
      </c>
      <c r="G26">
        <v>7</v>
      </c>
      <c r="H26">
        <v>128.38999999999999</v>
      </c>
      <c r="I26">
        <v>99.91</v>
      </c>
      <c r="J26">
        <v>0</v>
      </c>
      <c r="K26">
        <v>66</v>
      </c>
      <c r="L26" t="s">
        <v>4</v>
      </c>
      <c r="M26">
        <v>898.7299999999999</v>
      </c>
      <c r="N26">
        <v>699.37</v>
      </c>
      <c r="O26">
        <v>199.3599999999999</v>
      </c>
      <c r="P26">
        <f t="shared" si="0"/>
        <v>161.77139999999997</v>
      </c>
    </row>
    <row r="27" spans="1:19" x14ac:dyDescent="0.35">
      <c r="A27" t="s">
        <v>70</v>
      </c>
      <c r="B27" s="3">
        <v>45173</v>
      </c>
      <c r="C27" t="s">
        <v>64</v>
      </c>
      <c r="D27" t="s">
        <v>65</v>
      </c>
      <c r="E27" t="s">
        <v>3</v>
      </c>
      <c r="F27" t="s">
        <v>3</v>
      </c>
      <c r="G27">
        <v>2</v>
      </c>
      <c r="H27">
        <v>667.8</v>
      </c>
      <c r="I27">
        <v>463.92</v>
      </c>
      <c r="J27">
        <v>5</v>
      </c>
      <c r="K27">
        <v>62</v>
      </c>
      <c r="L27" t="s">
        <v>18</v>
      </c>
      <c r="M27">
        <v>1335.6</v>
      </c>
      <c r="N27">
        <v>927.84</v>
      </c>
      <c r="O27">
        <v>407.75999999999988</v>
      </c>
      <c r="P27">
        <f t="shared" si="0"/>
        <v>240.40799999999999</v>
      </c>
      <c r="R27" t="s">
        <v>264</v>
      </c>
      <c r="S27" t="s">
        <v>275</v>
      </c>
    </row>
    <row r="28" spans="1:19" x14ac:dyDescent="0.35">
      <c r="A28" t="s">
        <v>71</v>
      </c>
      <c r="B28" s="3">
        <v>45073</v>
      </c>
      <c r="C28" t="s">
        <v>32</v>
      </c>
      <c r="D28" t="s">
        <v>50</v>
      </c>
      <c r="E28" t="s">
        <v>3</v>
      </c>
      <c r="F28" t="s">
        <v>3</v>
      </c>
      <c r="G28">
        <v>3</v>
      </c>
      <c r="H28">
        <v>292.39999999999998</v>
      </c>
      <c r="I28">
        <v>195.7</v>
      </c>
      <c r="J28">
        <v>10</v>
      </c>
      <c r="K28">
        <v>110</v>
      </c>
      <c r="L28" t="s">
        <v>18</v>
      </c>
      <c r="M28">
        <v>877.19999999999993</v>
      </c>
      <c r="N28">
        <v>587.09999999999991</v>
      </c>
      <c r="O28">
        <v>290.10000000000002</v>
      </c>
      <c r="P28">
        <f t="shared" si="0"/>
        <v>157.89599999999999</v>
      </c>
      <c r="R28" t="s">
        <v>2</v>
      </c>
      <c r="S28">
        <f>VLOOKUP(R28,D1:O9,12,0)</f>
        <v>101.29999999999995</v>
      </c>
    </row>
    <row r="29" spans="1:19" x14ac:dyDescent="0.35">
      <c r="A29" t="s">
        <v>72</v>
      </c>
      <c r="B29" s="3">
        <v>44958</v>
      </c>
      <c r="C29" t="s">
        <v>14</v>
      </c>
      <c r="D29" t="s">
        <v>73</v>
      </c>
      <c r="E29" t="s">
        <v>59</v>
      </c>
      <c r="F29" t="s">
        <v>60</v>
      </c>
      <c r="G29">
        <v>3</v>
      </c>
      <c r="H29">
        <v>122.33</v>
      </c>
      <c r="I29">
        <v>103.05</v>
      </c>
      <c r="J29">
        <v>0</v>
      </c>
      <c r="K29">
        <v>84</v>
      </c>
      <c r="L29" t="s">
        <v>4</v>
      </c>
      <c r="M29">
        <v>366.99</v>
      </c>
      <c r="N29">
        <v>309.14999999999998</v>
      </c>
      <c r="O29">
        <v>57.840000000000032</v>
      </c>
      <c r="P29">
        <f t="shared" si="0"/>
        <v>66.058199999999999</v>
      </c>
      <c r="R29" t="s">
        <v>7</v>
      </c>
      <c r="S29">
        <f t="shared" ref="S29:S31" si="5">VLOOKUP(R29,D2:O10,12,0)</f>
        <v>10.790000000000006</v>
      </c>
    </row>
    <row r="30" spans="1:19" x14ac:dyDescent="0.35">
      <c r="A30" t="s">
        <v>74</v>
      </c>
      <c r="B30" s="3">
        <v>45187</v>
      </c>
      <c r="C30" t="s">
        <v>1</v>
      </c>
      <c r="D30" t="s">
        <v>75</v>
      </c>
      <c r="E30" t="s">
        <v>3</v>
      </c>
      <c r="F30" t="s">
        <v>3</v>
      </c>
      <c r="G30">
        <v>1</v>
      </c>
      <c r="H30">
        <v>385.46</v>
      </c>
      <c r="I30">
        <v>296.25</v>
      </c>
      <c r="J30">
        <v>20</v>
      </c>
      <c r="K30">
        <v>30</v>
      </c>
      <c r="L30" t="s">
        <v>38</v>
      </c>
      <c r="M30">
        <v>385.46</v>
      </c>
      <c r="N30">
        <v>296.25</v>
      </c>
      <c r="O30">
        <v>89.20999999999998</v>
      </c>
      <c r="P30">
        <f t="shared" si="0"/>
        <v>69.382799999999989</v>
      </c>
      <c r="R30" t="s">
        <v>9</v>
      </c>
      <c r="S30">
        <f t="shared" si="5"/>
        <v>194.48000000000002</v>
      </c>
    </row>
    <row r="31" spans="1:19" x14ac:dyDescent="0.35">
      <c r="A31" t="s">
        <v>76</v>
      </c>
      <c r="B31" s="3">
        <v>45053</v>
      </c>
      <c r="C31" t="s">
        <v>64</v>
      </c>
      <c r="D31" t="s">
        <v>77</v>
      </c>
      <c r="E31" t="s">
        <v>30</v>
      </c>
      <c r="F31" t="s">
        <v>11</v>
      </c>
      <c r="G31">
        <v>10</v>
      </c>
      <c r="H31">
        <v>62.56</v>
      </c>
      <c r="I31">
        <v>43.3</v>
      </c>
      <c r="J31">
        <v>15</v>
      </c>
      <c r="K31">
        <v>25</v>
      </c>
      <c r="L31" t="s">
        <v>4</v>
      </c>
      <c r="M31">
        <v>625.6</v>
      </c>
      <c r="N31">
        <v>433</v>
      </c>
      <c r="O31">
        <v>192.60000000000002</v>
      </c>
      <c r="P31">
        <f t="shared" si="0"/>
        <v>112.608</v>
      </c>
      <c r="R31" t="s">
        <v>15</v>
      </c>
      <c r="S31">
        <f t="shared" si="5"/>
        <v>140.45999999999998</v>
      </c>
    </row>
    <row r="32" spans="1:19" x14ac:dyDescent="0.35">
      <c r="A32" t="s">
        <v>78</v>
      </c>
      <c r="B32" s="3">
        <v>45060</v>
      </c>
      <c r="C32" t="s">
        <v>6</v>
      </c>
      <c r="D32" t="s">
        <v>52</v>
      </c>
      <c r="E32" t="s">
        <v>3</v>
      </c>
      <c r="F32" t="s">
        <v>3</v>
      </c>
      <c r="G32">
        <v>10</v>
      </c>
      <c r="H32">
        <v>68.38</v>
      </c>
      <c r="I32">
        <v>50.17</v>
      </c>
      <c r="J32">
        <v>20</v>
      </c>
      <c r="K32">
        <v>76</v>
      </c>
      <c r="L32" t="s">
        <v>27</v>
      </c>
      <c r="M32">
        <v>683.8</v>
      </c>
      <c r="N32">
        <v>501.70000000000005</v>
      </c>
      <c r="O32">
        <v>182.09999999999991</v>
      </c>
      <c r="P32">
        <f t="shared" si="0"/>
        <v>123.08399999999999</v>
      </c>
    </row>
    <row r="33" spans="1:19" x14ac:dyDescent="0.35">
      <c r="A33" t="s">
        <v>79</v>
      </c>
      <c r="B33" s="3">
        <v>44964</v>
      </c>
      <c r="C33" t="s">
        <v>32</v>
      </c>
      <c r="D33" t="s">
        <v>33</v>
      </c>
      <c r="E33" t="s">
        <v>36</v>
      </c>
      <c r="F33" t="s">
        <v>37</v>
      </c>
      <c r="G33">
        <v>5</v>
      </c>
      <c r="H33">
        <v>279.13</v>
      </c>
      <c r="I33">
        <v>203.94</v>
      </c>
      <c r="J33">
        <v>10</v>
      </c>
      <c r="K33">
        <v>68</v>
      </c>
      <c r="L33" t="s">
        <v>27</v>
      </c>
      <c r="M33">
        <v>1395.65</v>
      </c>
      <c r="N33">
        <v>1019.7</v>
      </c>
      <c r="O33">
        <v>375.95000000000005</v>
      </c>
      <c r="P33">
        <f t="shared" si="0"/>
        <v>251.21700000000001</v>
      </c>
      <c r="R33" t="s">
        <v>261</v>
      </c>
      <c r="S33" t="s">
        <v>271</v>
      </c>
    </row>
    <row r="34" spans="1:19" x14ac:dyDescent="0.35">
      <c r="A34" t="s">
        <v>80</v>
      </c>
      <c r="B34" s="3">
        <v>45052</v>
      </c>
      <c r="C34" t="s">
        <v>64</v>
      </c>
      <c r="D34" t="s">
        <v>81</v>
      </c>
      <c r="E34" t="s">
        <v>30</v>
      </c>
      <c r="F34" t="s">
        <v>11</v>
      </c>
      <c r="G34">
        <v>2</v>
      </c>
      <c r="H34">
        <v>356.12</v>
      </c>
      <c r="I34">
        <v>273.44</v>
      </c>
      <c r="J34">
        <v>5</v>
      </c>
      <c r="K34">
        <v>54</v>
      </c>
      <c r="L34" t="s">
        <v>38</v>
      </c>
      <c r="M34">
        <v>712.24</v>
      </c>
      <c r="N34">
        <v>546.88</v>
      </c>
      <c r="O34">
        <v>165.36</v>
      </c>
      <c r="P34">
        <f t="shared" ref="P34:P65" si="6">M34*$Q$2</f>
        <v>128.20320000000001</v>
      </c>
      <c r="R34" t="s">
        <v>0</v>
      </c>
      <c r="S34">
        <f>VLOOKUP(R34,A1:K10,11,0)</f>
        <v>96</v>
      </c>
    </row>
    <row r="35" spans="1:19" x14ac:dyDescent="0.35">
      <c r="A35" t="s">
        <v>82</v>
      </c>
      <c r="B35" s="3">
        <v>44931</v>
      </c>
      <c r="C35" t="s">
        <v>20</v>
      </c>
      <c r="D35" t="s">
        <v>21</v>
      </c>
      <c r="E35" t="s">
        <v>42</v>
      </c>
      <c r="F35" t="s">
        <v>43</v>
      </c>
      <c r="G35">
        <v>8</v>
      </c>
      <c r="H35">
        <v>578.17999999999995</v>
      </c>
      <c r="I35">
        <v>418.54</v>
      </c>
      <c r="J35">
        <v>20</v>
      </c>
      <c r="K35">
        <v>113</v>
      </c>
      <c r="L35" t="s">
        <v>4</v>
      </c>
      <c r="M35">
        <v>4625.4399999999996</v>
      </c>
      <c r="N35">
        <v>3348.32</v>
      </c>
      <c r="O35">
        <v>1277.1199999999994</v>
      </c>
      <c r="P35">
        <f t="shared" si="6"/>
        <v>832.5791999999999</v>
      </c>
      <c r="R35" t="s">
        <v>5</v>
      </c>
      <c r="S35">
        <f t="shared" ref="S35:S37" si="7">VLOOKUP(R35,A2:K11,11,0)</f>
        <v>13</v>
      </c>
    </row>
    <row r="36" spans="1:19" x14ac:dyDescent="0.35">
      <c r="A36" t="s">
        <v>83</v>
      </c>
      <c r="B36" s="3">
        <v>45006</v>
      </c>
      <c r="C36" t="s">
        <v>1</v>
      </c>
      <c r="D36" t="s">
        <v>9</v>
      </c>
      <c r="E36" t="s">
        <v>16</v>
      </c>
      <c r="F36" t="s">
        <v>17</v>
      </c>
      <c r="G36">
        <v>2</v>
      </c>
      <c r="H36">
        <v>542.34</v>
      </c>
      <c r="I36">
        <v>470.08</v>
      </c>
      <c r="J36">
        <v>0</v>
      </c>
      <c r="K36">
        <v>23</v>
      </c>
      <c r="L36" t="s">
        <v>4</v>
      </c>
      <c r="M36">
        <v>1084.68</v>
      </c>
      <c r="N36">
        <v>940.16</v>
      </c>
      <c r="O36">
        <v>144.5200000000001</v>
      </c>
      <c r="P36">
        <f t="shared" si="6"/>
        <v>195.2424</v>
      </c>
      <c r="R36" t="s">
        <v>8</v>
      </c>
      <c r="S36">
        <f t="shared" si="7"/>
        <v>107</v>
      </c>
    </row>
    <row r="37" spans="1:19" x14ac:dyDescent="0.35">
      <c r="A37" t="s">
        <v>84</v>
      </c>
      <c r="B37" s="3">
        <v>45055</v>
      </c>
      <c r="C37" t="s">
        <v>20</v>
      </c>
      <c r="D37" t="s">
        <v>21</v>
      </c>
      <c r="E37" t="s">
        <v>36</v>
      </c>
      <c r="F37" t="s">
        <v>37</v>
      </c>
      <c r="G37">
        <v>6</v>
      </c>
      <c r="H37">
        <v>148.58000000000001</v>
      </c>
      <c r="I37">
        <v>109.76</v>
      </c>
      <c r="J37">
        <v>10</v>
      </c>
      <c r="K37">
        <v>74</v>
      </c>
      <c r="L37" t="s">
        <v>18</v>
      </c>
      <c r="M37">
        <v>891.48</v>
      </c>
      <c r="N37">
        <v>658.56000000000006</v>
      </c>
      <c r="O37">
        <v>232.91999999999996</v>
      </c>
      <c r="P37">
        <f t="shared" si="6"/>
        <v>160.46639999999999</v>
      </c>
      <c r="R37" t="s">
        <v>13</v>
      </c>
      <c r="S37">
        <f t="shared" si="7"/>
        <v>21</v>
      </c>
    </row>
    <row r="38" spans="1:19" x14ac:dyDescent="0.35">
      <c r="A38" t="s">
        <v>85</v>
      </c>
      <c r="B38" s="3">
        <v>45253</v>
      </c>
      <c r="C38" t="s">
        <v>23</v>
      </c>
      <c r="D38" t="s">
        <v>48</v>
      </c>
      <c r="E38" t="s">
        <v>30</v>
      </c>
      <c r="F38" t="s">
        <v>11</v>
      </c>
      <c r="G38">
        <v>7</v>
      </c>
      <c r="H38">
        <v>465.36</v>
      </c>
      <c r="I38">
        <v>416.38</v>
      </c>
      <c r="J38">
        <v>10</v>
      </c>
      <c r="K38">
        <v>108</v>
      </c>
      <c r="L38" t="s">
        <v>12</v>
      </c>
      <c r="M38">
        <v>3257.52</v>
      </c>
      <c r="N38">
        <v>2914.66</v>
      </c>
      <c r="O38">
        <v>342.86000000000013</v>
      </c>
      <c r="P38">
        <f t="shared" si="6"/>
        <v>586.35360000000003</v>
      </c>
    </row>
    <row r="39" spans="1:19" x14ac:dyDescent="0.35">
      <c r="A39" t="s">
        <v>86</v>
      </c>
      <c r="B39" s="3">
        <v>45206</v>
      </c>
      <c r="C39" t="s">
        <v>20</v>
      </c>
      <c r="D39" t="s">
        <v>87</v>
      </c>
      <c r="E39" t="s">
        <v>59</v>
      </c>
      <c r="F39" t="s">
        <v>60</v>
      </c>
      <c r="G39">
        <v>9</v>
      </c>
      <c r="H39">
        <v>471.18</v>
      </c>
      <c r="I39">
        <v>355.78</v>
      </c>
      <c r="J39">
        <v>0</v>
      </c>
      <c r="K39">
        <v>19</v>
      </c>
      <c r="L39" t="s">
        <v>12</v>
      </c>
      <c r="M39">
        <v>4240.62</v>
      </c>
      <c r="N39">
        <v>3202.0199999999995</v>
      </c>
      <c r="O39">
        <v>1038.6000000000004</v>
      </c>
      <c r="P39">
        <f t="shared" si="6"/>
        <v>763.3116</v>
      </c>
      <c r="R39" t="s">
        <v>263</v>
      </c>
      <c r="S39" t="s">
        <v>277</v>
      </c>
    </row>
    <row r="40" spans="1:19" x14ac:dyDescent="0.35">
      <c r="A40" t="s">
        <v>88</v>
      </c>
      <c r="B40" s="3">
        <v>45276</v>
      </c>
      <c r="C40" t="s">
        <v>64</v>
      </c>
      <c r="D40" t="s">
        <v>89</v>
      </c>
      <c r="E40" t="s">
        <v>42</v>
      </c>
      <c r="F40" t="s">
        <v>43</v>
      </c>
      <c r="G40">
        <v>7</v>
      </c>
      <c r="H40">
        <v>88.63</v>
      </c>
      <c r="I40">
        <v>72.45</v>
      </c>
      <c r="J40">
        <v>0</v>
      </c>
      <c r="K40">
        <v>55</v>
      </c>
      <c r="L40" t="s">
        <v>12</v>
      </c>
      <c r="M40">
        <v>620.41</v>
      </c>
      <c r="N40">
        <v>507.15000000000003</v>
      </c>
      <c r="O40">
        <v>113.25999999999993</v>
      </c>
      <c r="P40">
        <f t="shared" si="6"/>
        <v>111.67379999999999</v>
      </c>
      <c r="R40" t="s">
        <v>1</v>
      </c>
      <c r="S40">
        <f>VLOOKUP(R40,C1:P8,14,0)</f>
        <v>135.23399999999998</v>
      </c>
    </row>
    <row r="41" spans="1:19" x14ac:dyDescent="0.35">
      <c r="A41" t="s">
        <v>90</v>
      </c>
      <c r="B41" s="3">
        <v>45048</v>
      </c>
      <c r="C41" t="s">
        <v>32</v>
      </c>
      <c r="D41" t="s">
        <v>91</v>
      </c>
      <c r="E41" t="s">
        <v>25</v>
      </c>
      <c r="F41" t="s">
        <v>26</v>
      </c>
      <c r="G41">
        <v>9</v>
      </c>
      <c r="H41">
        <v>559.6</v>
      </c>
      <c r="I41">
        <v>443.23</v>
      </c>
      <c r="J41">
        <v>20</v>
      </c>
      <c r="K41">
        <v>105</v>
      </c>
      <c r="L41" t="s">
        <v>12</v>
      </c>
      <c r="M41">
        <v>5036.4000000000005</v>
      </c>
      <c r="N41">
        <v>3989.07</v>
      </c>
      <c r="O41">
        <v>1047.3300000000004</v>
      </c>
      <c r="P41">
        <f t="shared" si="6"/>
        <v>906.55200000000002</v>
      </c>
      <c r="R41" t="s">
        <v>6</v>
      </c>
      <c r="S41">
        <f t="shared" ref="S41:S43" si="8">VLOOKUP(R41,C2:P9,14,0)</f>
        <v>12.006</v>
      </c>
    </row>
    <row r="42" spans="1:19" x14ac:dyDescent="0.35">
      <c r="A42" t="s">
        <v>92</v>
      </c>
      <c r="B42" s="3">
        <v>45269</v>
      </c>
      <c r="C42" t="s">
        <v>23</v>
      </c>
      <c r="D42" t="s">
        <v>29</v>
      </c>
      <c r="E42" t="s">
        <v>42</v>
      </c>
      <c r="F42" t="s">
        <v>43</v>
      </c>
      <c r="G42">
        <v>7</v>
      </c>
      <c r="H42">
        <v>30.89</v>
      </c>
      <c r="I42">
        <v>22.15</v>
      </c>
      <c r="J42">
        <v>10</v>
      </c>
      <c r="K42">
        <v>110</v>
      </c>
      <c r="L42" t="s">
        <v>18</v>
      </c>
      <c r="M42">
        <v>216.23000000000002</v>
      </c>
      <c r="N42">
        <v>155.04999999999998</v>
      </c>
      <c r="O42">
        <v>61.180000000000035</v>
      </c>
      <c r="P42">
        <f t="shared" si="6"/>
        <v>38.921399999999998</v>
      </c>
      <c r="R42" t="s">
        <v>1</v>
      </c>
      <c r="S42">
        <f t="shared" si="8"/>
        <v>200.68559999999999</v>
      </c>
    </row>
    <row r="43" spans="1:19" x14ac:dyDescent="0.35">
      <c r="A43" t="s">
        <v>93</v>
      </c>
      <c r="B43" s="3">
        <v>45040</v>
      </c>
      <c r="C43" t="s">
        <v>23</v>
      </c>
      <c r="D43" t="s">
        <v>29</v>
      </c>
      <c r="E43" t="s">
        <v>16</v>
      </c>
      <c r="F43" t="s">
        <v>17</v>
      </c>
      <c r="G43">
        <v>3</v>
      </c>
      <c r="H43">
        <v>452.51</v>
      </c>
      <c r="I43">
        <v>395.81</v>
      </c>
      <c r="J43">
        <v>0</v>
      </c>
      <c r="K43">
        <v>119</v>
      </c>
      <c r="L43" t="s">
        <v>18</v>
      </c>
      <c r="M43">
        <v>1357.53</v>
      </c>
      <c r="N43">
        <v>1187.43</v>
      </c>
      <c r="O43">
        <v>170.09999999999991</v>
      </c>
      <c r="P43">
        <f t="shared" si="6"/>
        <v>244.35539999999997</v>
      </c>
      <c r="R43" t="s">
        <v>14</v>
      </c>
      <c r="S43">
        <f t="shared" si="8"/>
        <v>87.652799999999999</v>
      </c>
    </row>
    <row r="44" spans="1:19" x14ac:dyDescent="0.35">
      <c r="A44" t="s">
        <v>94</v>
      </c>
      <c r="B44" s="3">
        <v>45131</v>
      </c>
      <c r="C44" t="s">
        <v>32</v>
      </c>
      <c r="D44" t="s">
        <v>50</v>
      </c>
      <c r="E44" t="s">
        <v>25</v>
      </c>
      <c r="F44" t="s">
        <v>26</v>
      </c>
      <c r="G44">
        <v>5</v>
      </c>
      <c r="H44">
        <v>596.88</v>
      </c>
      <c r="I44">
        <v>412.06</v>
      </c>
      <c r="J44">
        <v>5</v>
      </c>
      <c r="K44">
        <v>13</v>
      </c>
      <c r="L44" t="s">
        <v>12</v>
      </c>
      <c r="M44">
        <v>2984.4</v>
      </c>
      <c r="N44">
        <v>2060.3000000000002</v>
      </c>
      <c r="O44">
        <v>924.09999999999991</v>
      </c>
      <c r="P44">
        <f t="shared" si="6"/>
        <v>537.19200000000001</v>
      </c>
    </row>
    <row r="45" spans="1:19" x14ac:dyDescent="0.35">
      <c r="A45" t="s">
        <v>95</v>
      </c>
      <c r="B45" s="3">
        <v>44986</v>
      </c>
      <c r="C45" t="s">
        <v>20</v>
      </c>
      <c r="D45" t="s">
        <v>21</v>
      </c>
      <c r="E45" t="s">
        <v>30</v>
      </c>
      <c r="F45" t="s">
        <v>11</v>
      </c>
      <c r="G45">
        <v>5</v>
      </c>
      <c r="H45">
        <v>237.36</v>
      </c>
      <c r="I45">
        <v>182.06</v>
      </c>
      <c r="J45">
        <v>20</v>
      </c>
      <c r="K45">
        <v>52</v>
      </c>
      <c r="L45" t="s">
        <v>38</v>
      </c>
      <c r="M45">
        <v>1186.8000000000002</v>
      </c>
      <c r="N45">
        <v>910.3</v>
      </c>
      <c r="O45">
        <v>276.50000000000023</v>
      </c>
      <c r="P45">
        <f t="shared" si="6"/>
        <v>213.62400000000002</v>
      </c>
      <c r="R45" t="s">
        <v>261</v>
      </c>
      <c r="S45" t="s">
        <v>272</v>
      </c>
    </row>
    <row r="46" spans="1:19" x14ac:dyDescent="0.35">
      <c r="A46" t="s">
        <v>96</v>
      </c>
      <c r="B46" s="3">
        <v>45188</v>
      </c>
      <c r="C46" t="s">
        <v>20</v>
      </c>
      <c r="D46" t="s">
        <v>87</v>
      </c>
      <c r="E46" t="s">
        <v>16</v>
      </c>
      <c r="F46" t="s">
        <v>17</v>
      </c>
      <c r="G46">
        <v>1</v>
      </c>
      <c r="H46">
        <v>80.400000000000006</v>
      </c>
      <c r="I46">
        <v>63.12</v>
      </c>
      <c r="J46">
        <v>10</v>
      </c>
      <c r="K46">
        <v>65</v>
      </c>
      <c r="L46" t="s">
        <v>4</v>
      </c>
      <c r="M46">
        <v>80.400000000000006</v>
      </c>
      <c r="N46">
        <v>63.12</v>
      </c>
      <c r="O46">
        <v>17.280000000000008</v>
      </c>
      <c r="P46">
        <f t="shared" si="6"/>
        <v>14.472000000000001</v>
      </c>
      <c r="R46" t="s">
        <v>0</v>
      </c>
      <c r="S46" t="str">
        <f>VLOOKUP(R46,A1:L7,12,0)</f>
        <v>Wallet</v>
      </c>
    </row>
    <row r="47" spans="1:19" x14ac:dyDescent="0.35">
      <c r="A47" t="s">
        <v>97</v>
      </c>
      <c r="B47" s="3">
        <v>45278</v>
      </c>
      <c r="C47" t="s">
        <v>64</v>
      </c>
      <c r="D47" t="s">
        <v>81</v>
      </c>
      <c r="E47" t="s">
        <v>36</v>
      </c>
      <c r="F47" t="s">
        <v>37</v>
      </c>
      <c r="G47">
        <v>5</v>
      </c>
      <c r="H47">
        <v>40.46</v>
      </c>
      <c r="I47">
        <v>31.75</v>
      </c>
      <c r="J47">
        <v>20</v>
      </c>
      <c r="K47">
        <v>113</v>
      </c>
      <c r="L47" t="s">
        <v>4</v>
      </c>
      <c r="M47">
        <v>202.3</v>
      </c>
      <c r="N47">
        <v>158.75</v>
      </c>
      <c r="O47">
        <v>43.550000000000011</v>
      </c>
      <c r="P47">
        <f t="shared" si="6"/>
        <v>36.414000000000001</v>
      </c>
      <c r="R47" t="s">
        <v>5</v>
      </c>
      <c r="S47" t="str">
        <f t="shared" ref="S47:S49" si="9">VLOOKUP(R47,A2:L8,12,0)</f>
        <v>Wallet</v>
      </c>
    </row>
    <row r="48" spans="1:19" x14ac:dyDescent="0.35">
      <c r="A48" t="s">
        <v>98</v>
      </c>
      <c r="B48" s="3">
        <v>45266</v>
      </c>
      <c r="C48" t="s">
        <v>1</v>
      </c>
      <c r="D48" t="s">
        <v>99</v>
      </c>
      <c r="E48" t="s">
        <v>25</v>
      </c>
      <c r="F48" t="s">
        <v>26</v>
      </c>
      <c r="G48">
        <v>7</v>
      </c>
      <c r="H48">
        <v>60.49</v>
      </c>
      <c r="I48">
        <v>44.29</v>
      </c>
      <c r="J48">
        <v>10</v>
      </c>
      <c r="K48">
        <v>89</v>
      </c>
      <c r="L48" t="s">
        <v>27</v>
      </c>
      <c r="M48">
        <v>423.43</v>
      </c>
      <c r="N48">
        <v>310.02999999999997</v>
      </c>
      <c r="O48">
        <v>113.40000000000003</v>
      </c>
      <c r="P48">
        <f t="shared" si="6"/>
        <v>76.217399999999998</v>
      </c>
      <c r="R48" t="s">
        <v>8</v>
      </c>
      <c r="S48" t="str">
        <f t="shared" si="9"/>
        <v>Credit Card</v>
      </c>
    </row>
    <row r="49" spans="1:19" x14ac:dyDescent="0.35">
      <c r="A49" t="s">
        <v>100</v>
      </c>
      <c r="B49" s="3">
        <v>45210</v>
      </c>
      <c r="C49" t="s">
        <v>23</v>
      </c>
      <c r="D49" t="s">
        <v>48</v>
      </c>
      <c r="E49" t="s">
        <v>16</v>
      </c>
      <c r="F49" t="s">
        <v>17</v>
      </c>
      <c r="G49">
        <v>9</v>
      </c>
      <c r="H49">
        <v>204.1</v>
      </c>
      <c r="I49">
        <v>161.55000000000001</v>
      </c>
      <c r="J49">
        <v>15</v>
      </c>
      <c r="K49">
        <v>99</v>
      </c>
      <c r="L49" t="s">
        <v>27</v>
      </c>
      <c r="M49">
        <v>1836.8999999999999</v>
      </c>
      <c r="N49">
        <v>1453.95</v>
      </c>
      <c r="O49">
        <v>382.94999999999982</v>
      </c>
      <c r="P49">
        <f t="shared" si="6"/>
        <v>330.64199999999994</v>
      </c>
      <c r="R49" t="s">
        <v>13</v>
      </c>
      <c r="S49" t="str">
        <f t="shared" si="9"/>
        <v>Cash on Delivery</v>
      </c>
    </row>
    <row r="50" spans="1:19" x14ac:dyDescent="0.35">
      <c r="A50" t="s">
        <v>101</v>
      </c>
      <c r="B50" s="3">
        <v>45134</v>
      </c>
      <c r="C50" t="s">
        <v>32</v>
      </c>
      <c r="D50" t="s">
        <v>46</v>
      </c>
      <c r="E50" t="s">
        <v>10</v>
      </c>
      <c r="F50" t="s">
        <v>11</v>
      </c>
      <c r="G50">
        <v>7</v>
      </c>
      <c r="H50">
        <v>499.54</v>
      </c>
      <c r="I50">
        <v>341.89</v>
      </c>
      <c r="J50">
        <v>20</v>
      </c>
      <c r="K50">
        <v>82</v>
      </c>
      <c r="L50" t="s">
        <v>27</v>
      </c>
      <c r="M50">
        <v>3496.78</v>
      </c>
      <c r="N50">
        <v>2393.23</v>
      </c>
      <c r="O50">
        <v>1103.5500000000002</v>
      </c>
      <c r="P50">
        <f t="shared" si="6"/>
        <v>629.42039999999997</v>
      </c>
    </row>
    <row r="51" spans="1:19" x14ac:dyDescent="0.35">
      <c r="A51" t="s">
        <v>102</v>
      </c>
      <c r="B51" s="3">
        <v>45165</v>
      </c>
      <c r="C51" t="s">
        <v>6</v>
      </c>
      <c r="D51" t="s">
        <v>56</v>
      </c>
      <c r="E51" t="s">
        <v>16</v>
      </c>
      <c r="F51" t="s">
        <v>17</v>
      </c>
      <c r="G51">
        <v>5</v>
      </c>
      <c r="H51">
        <v>159.80000000000001</v>
      </c>
      <c r="I51">
        <v>112.99</v>
      </c>
      <c r="J51">
        <v>20</v>
      </c>
      <c r="K51">
        <v>93</v>
      </c>
      <c r="L51" t="s">
        <v>27</v>
      </c>
      <c r="M51">
        <v>799</v>
      </c>
      <c r="N51">
        <v>564.94999999999993</v>
      </c>
      <c r="O51">
        <v>234.05000000000007</v>
      </c>
      <c r="P51">
        <f t="shared" si="6"/>
        <v>143.82</v>
      </c>
    </row>
    <row r="52" spans="1:19" x14ac:dyDescent="0.35">
      <c r="A52" t="s">
        <v>103</v>
      </c>
      <c r="B52" s="3">
        <v>45072</v>
      </c>
      <c r="C52" t="s">
        <v>14</v>
      </c>
      <c r="D52" t="s">
        <v>104</v>
      </c>
      <c r="E52" t="s">
        <v>36</v>
      </c>
      <c r="F52" t="s">
        <v>37</v>
      </c>
      <c r="G52">
        <v>9</v>
      </c>
      <c r="H52">
        <v>353.23</v>
      </c>
      <c r="I52">
        <v>241.86</v>
      </c>
      <c r="J52">
        <v>5</v>
      </c>
      <c r="K52">
        <v>94</v>
      </c>
      <c r="L52" t="s">
        <v>38</v>
      </c>
      <c r="M52">
        <v>3179.07</v>
      </c>
      <c r="N52">
        <v>2176.7400000000002</v>
      </c>
      <c r="O52">
        <v>1002.3299999999999</v>
      </c>
      <c r="P52">
        <f t="shared" si="6"/>
        <v>572.23260000000005</v>
      </c>
      <c r="R52" t="s">
        <v>268</v>
      </c>
      <c r="S52" t="s">
        <v>270</v>
      </c>
    </row>
    <row r="53" spans="1:19" x14ac:dyDescent="0.35">
      <c r="A53" t="s">
        <v>105</v>
      </c>
      <c r="B53" s="3">
        <v>45002</v>
      </c>
      <c r="C53" t="s">
        <v>6</v>
      </c>
      <c r="D53" t="s">
        <v>52</v>
      </c>
      <c r="E53" t="s">
        <v>25</v>
      </c>
      <c r="F53" t="s">
        <v>26</v>
      </c>
      <c r="G53">
        <v>2</v>
      </c>
      <c r="H53">
        <v>575.63</v>
      </c>
      <c r="I53">
        <v>411.03</v>
      </c>
      <c r="J53">
        <v>10</v>
      </c>
      <c r="K53">
        <v>38</v>
      </c>
      <c r="L53" t="s">
        <v>12</v>
      </c>
      <c r="M53">
        <v>1151.26</v>
      </c>
      <c r="N53">
        <v>822.06</v>
      </c>
      <c r="O53">
        <v>329.20000000000005</v>
      </c>
      <c r="P53">
        <f t="shared" si="6"/>
        <v>207.2268</v>
      </c>
      <c r="R53">
        <v>150.26</v>
      </c>
      <c r="S53">
        <f>VLOOKUP(R53,H1:J13,3,FALSE)</f>
        <v>0</v>
      </c>
    </row>
    <row r="54" spans="1:19" x14ac:dyDescent="0.35">
      <c r="A54" t="s">
        <v>106</v>
      </c>
      <c r="B54" s="3">
        <v>45026</v>
      </c>
      <c r="C54" t="s">
        <v>64</v>
      </c>
      <c r="D54" t="s">
        <v>107</v>
      </c>
      <c r="E54" t="s">
        <v>36</v>
      </c>
      <c r="F54" t="s">
        <v>37</v>
      </c>
      <c r="G54">
        <v>8</v>
      </c>
      <c r="H54">
        <v>435.62</v>
      </c>
      <c r="I54">
        <v>309.52</v>
      </c>
      <c r="J54">
        <v>15</v>
      </c>
      <c r="K54">
        <v>63</v>
      </c>
      <c r="L54" t="s">
        <v>4</v>
      </c>
      <c r="M54">
        <v>3484.96</v>
      </c>
      <c r="N54">
        <v>2476.16</v>
      </c>
      <c r="O54">
        <v>1008.8000000000002</v>
      </c>
      <c r="P54">
        <f t="shared" si="6"/>
        <v>627.29279999999994</v>
      </c>
      <c r="R54">
        <v>66.7</v>
      </c>
      <c r="S54">
        <f t="shared" ref="S54:S56" si="10">VLOOKUP(R54,H2:J14,3,FALSE)</f>
        <v>20</v>
      </c>
    </row>
    <row r="55" spans="1:19" x14ac:dyDescent="0.35">
      <c r="A55" t="s">
        <v>108</v>
      </c>
      <c r="B55" s="3">
        <v>45144</v>
      </c>
      <c r="C55" t="s">
        <v>1</v>
      </c>
      <c r="D55" t="s">
        <v>41</v>
      </c>
      <c r="E55" t="s">
        <v>59</v>
      </c>
      <c r="F55" t="s">
        <v>60</v>
      </c>
      <c r="G55">
        <v>7</v>
      </c>
      <c r="H55">
        <v>176.5</v>
      </c>
      <c r="I55">
        <v>129.55000000000001</v>
      </c>
      <c r="J55">
        <v>0</v>
      </c>
      <c r="K55">
        <v>106</v>
      </c>
      <c r="L55" t="s">
        <v>38</v>
      </c>
      <c r="M55">
        <v>1235.5</v>
      </c>
      <c r="N55">
        <v>906.85000000000014</v>
      </c>
      <c r="O55">
        <v>328.64999999999986</v>
      </c>
      <c r="P55">
        <f t="shared" si="6"/>
        <v>222.39</v>
      </c>
      <c r="R55">
        <v>278.73</v>
      </c>
      <c r="S55">
        <f t="shared" si="10"/>
        <v>0</v>
      </c>
    </row>
    <row r="56" spans="1:19" x14ac:dyDescent="0.35">
      <c r="A56" t="s">
        <v>109</v>
      </c>
      <c r="B56" s="3">
        <v>45164</v>
      </c>
      <c r="C56" t="s">
        <v>32</v>
      </c>
      <c r="D56" t="s">
        <v>46</v>
      </c>
      <c r="E56" t="s">
        <v>59</v>
      </c>
      <c r="F56" t="s">
        <v>60</v>
      </c>
      <c r="G56">
        <v>1</v>
      </c>
      <c r="H56">
        <v>415.35</v>
      </c>
      <c r="I56">
        <v>283.13</v>
      </c>
      <c r="J56">
        <v>0</v>
      </c>
      <c r="K56">
        <v>68</v>
      </c>
      <c r="L56" t="s">
        <v>12</v>
      </c>
      <c r="M56">
        <v>415.35</v>
      </c>
      <c r="N56">
        <v>283.13</v>
      </c>
      <c r="O56">
        <v>132.22000000000003</v>
      </c>
      <c r="P56">
        <f t="shared" si="6"/>
        <v>74.763000000000005</v>
      </c>
      <c r="R56">
        <v>162.32</v>
      </c>
      <c r="S56">
        <f t="shared" si="10"/>
        <v>0</v>
      </c>
    </row>
    <row r="57" spans="1:19" x14ac:dyDescent="0.35">
      <c r="A57" t="s">
        <v>110</v>
      </c>
      <c r="B57" s="3">
        <v>45155</v>
      </c>
      <c r="C57" t="s">
        <v>1</v>
      </c>
      <c r="D57" t="s">
        <v>9</v>
      </c>
      <c r="E57" t="s">
        <v>25</v>
      </c>
      <c r="F57" t="s">
        <v>26</v>
      </c>
      <c r="G57">
        <v>8</v>
      </c>
      <c r="H57">
        <v>430.47</v>
      </c>
      <c r="I57">
        <v>310.2</v>
      </c>
      <c r="J57">
        <v>20</v>
      </c>
      <c r="K57">
        <v>64</v>
      </c>
      <c r="L57" t="s">
        <v>4</v>
      </c>
      <c r="M57">
        <v>3443.76</v>
      </c>
      <c r="N57">
        <v>2481.6</v>
      </c>
      <c r="O57">
        <v>962.16000000000031</v>
      </c>
      <c r="P57">
        <f t="shared" si="6"/>
        <v>619.8768</v>
      </c>
    </row>
    <row r="58" spans="1:19" x14ac:dyDescent="0.35">
      <c r="A58" t="s">
        <v>111</v>
      </c>
      <c r="B58" s="3">
        <v>45175</v>
      </c>
      <c r="C58" t="s">
        <v>32</v>
      </c>
      <c r="D58" t="s">
        <v>50</v>
      </c>
      <c r="E58" t="s">
        <v>59</v>
      </c>
      <c r="F58" t="s">
        <v>60</v>
      </c>
      <c r="G58">
        <v>5</v>
      </c>
      <c r="H58">
        <v>543.32000000000005</v>
      </c>
      <c r="I58">
        <v>378.37</v>
      </c>
      <c r="J58">
        <v>10</v>
      </c>
      <c r="K58">
        <v>108</v>
      </c>
      <c r="L58" t="s">
        <v>4</v>
      </c>
      <c r="M58">
        <v>2716.6000000000004</v>
      </c>
      <c r="N58">
        <v>1891.85</v>
      </c>
      <c r="O58">
        <v>824.75000000000045</v>
      </c>
      <c r="P58">
        <f t="shared" si="6"/>
        <v>488.98800000000006</v>
      </c>
      <c r="R58" t="s">
        <v>262</v>
      </c>
      <c r="S58" t="s">
        <v>273</v>
      </c>
    </row>
    <row r="59" spans="1:19" x14ac:dyDescent="0.35">
      <c r="A59" t="s">
        <v>112</v>
      </c>
      <c r="B59" s="3">
        <v>45203</v>
      </c>
      <c r="C59" t="s">
        <v>1</v>
      </c>
      <c r="D59" t="s">
        <v>99</v>
      </c>
      <c r="E59" t="s">
        <v>16</v>
      </c>
      <c r="F59" t="s">
        <v>17</v>
      </c>
      <c r="G59">
        <v>8</v>
      </c>
      <c r="H59">
        <v>58.25</v>
      </c>
      <c r="I59">
        <v>47.97</v>
      </c>
      <c r="J59">
        <v>10</v>
      </c>
      <c r="K59">
        <v>52</v>
      </c>
      <c r="L59" t="s">
        <v>27</v>
      </c>
      <c r="M59">
        <v>466</v>
      </c>
      <c r="N59">
        <v>383.76</v>
      </c>
      <c r="O59">
        <v>82.240000000000009</v>
      </c>
      <c r="P59">
        <f t="shared" si="6"/>
        <v>83.88</v>
      </c>
      <c r="R59" s="3">
        <v>44971</v>
      </c>
      <c r="S59">
        <f>VLOOKUP(R59,B1:M10,12,0)</f>
        <v>751.3</v>
      </c>
    </row>
    <row r="60" spans="1:19" x14ac:dyDescent="0.35">
      <c r="A60" t="s">
        <v>113</v>
      </c>
      <c r="B60" s="3">
        <v>45135</v>
      </c>
      <c r="C60" t="s">
        <v>64</v>
      </c>
      <c r="D60" t="s">
        <v>77</v>
      </c>
      <c r="E60" t="s">
        <v>42</v>
      </c>
      <c r="F60" t="s">
        <v>43</v>
      </c>
      <c r="G60">
        <v>4</v>
      </c>
      <c r="H60">
        <v>229.54</v>
      </c>
      <c r="I60">
        <v>197.69</v>
      </c>
      <c r="J60">
        <v>5</v>
      </c>
      <c r="K60">
        <v>18</v>
      </c>
      <c r="L60" t="s">
        <v>18</v>
      </c>
      <c r="M60">
        <v>918.16</v>
      </c>
      <c r="N60">
        <v>790.76</v>
      </c>
      <c r="O60">
        <v>127.39999999999998</v>
      </c>
      <c r="P60">
        <f t="shared" si="6"/>
        <v>165.2688</v>
      </c>
      <c r="R60" s="3">
        <v>45028</v>
      </c>
      <c r="S60">
        <f t="shared" ref="S60:S62" si="11">VLOOKUP(R60,B2:M11,12,0)</f>
        <v>66.7</v>
      </c>
    </row>
    <row r="61" spans="1:19" x14ac:dyDescent="0.35">
      <c r="A61" t="s">
        <v>114</v>
      </c>
      <c r="B61" s="3">
        <v>45283</v>
      </c>
      <c r="C61" t="s">
        <v>20</v>
      </c>
      <c r="D61" t="s">
        <v>35</v>
      </c>
      <c r="E61" t="s">
        <v>59</v>
      </c>
      <c r="F61" t="s">
        <v>60</v>
      </c>
      <c r="G61">
        <v>7</v>
      </c>
      <c r="H61">
        <v>58.06</v>
      </c>
      <c r="I61">
        <v>40.51</v>
      </c>
      <c r="J61">
        <v>15</v>
      </c>
      <c r="K61">
        <v>108</v>
      </c>
      <c r="L61" t="s">
        <v>4</v>
      </c>
      <c r="M61">
        <v>406.42</v>
      </c>
      <c r="N61">
        <v>283.57</v>
      </c>
      <c r="O61">
        <v>122.85000000000002</v>
      </c>
      <c r="P61">
        <f t="shared" si="6"/>
        <v>73.155600000000007</v>
      </c>
      <c r="R61" s="3">
        <v>45284</v>
      </c>
      <c r="S61">
        <f t="shared" si="11"/>
        <v>1114.92</v>
      </c>
    </row>
    <row r="62" spans="1:19" x14ac:dyDescent="0.35">
      <c r="A62" t="s">
        <v>115</v>
      </c>
      <c r="B62" s="3">
        <v>45202</v>
      </c>
      <c r="C62" t="s">
        <v>64</v>
      </c>
      <c r="D62" t="s">
        <v>65</v>
      </c>
      <c r="E62" t="s">
        <v>10</v>
      </c>
      <c r="F62" t="s">
        <v>11</v>
      </c>
      <c r="G62">
        <v>8</v>
      </c>
      <c r="H62">
        <v>15.99</v>
      </c>
      <c r="I62">
        <v>12.89</v>
      </c>
      <c r="J62">
        <v>15</v>
      </c>
      <c r="K62">
        <v>119</v>
      </c>
      <c r="L62" t="s">
        <v>18</v>
      </c>
      <c r="M62">
        <v>127.92</v>
      </c>
      <c r="N62">
        <v>103.12</v>
      </c>
      <c r="O62">
        <v>24.799999999999997</v>
      </c>
      <c r="P62">
        <f t="shared" si="6"/>
        <v>23.025600000000001</v>
      </c>
      <c r="R62" s="3">
        <v>44976</v>
      </c>
      <c r="S62">
        <f t="shared" si="11"/>
        <v>486.96</v>
      </c>
    </row>
    <row r="63" spans="1:19" x14ac:dyDescent="0.35">
      <c r="A63" t="s">
        <v>116</v>
      </c>
      <c r="B63" s="3">
        <v>45269</v>
      </c>
      <c r="C63" t="s">
        <v>1</v>
      </c>
      <c r="D63" t="s">
        <v>9</v>
      </c>
      <c r="E63" t="s">
        <v>36</v>
      </c>
      <c r="F63" t="s">
        <v>37</v>
      </c>
      <c r="G63">
        <v>8</v>
      </c>
      <c r="H63">
        <v>149.76</v>
      </c>
      <c r="I63">
        <v>117.52</v>
      </c>
      <c r="J63">
        <v>0</v>
      </c>
      <c r="K63">
        <v>59</v>
      </c>
      <c r="L63" t="s">
        <v>27</v>
      </c>
      <c r="M63">
        <v>1198.08</v>
      </c>
      <c r="N63">
        <v>940.16</v>
      </c>
      <c r="O63">
        <v>257.91999999999996</v>
      </c>
      <c r="P63">
        <f t="shared" si="6"/>
        <v>215.65439999999998</v>
      </c>
    </row>
    <row r="64" spans="1:19" x14ac:dyDescent="0.35">
      <c r="A64" t="s">
        <v>117</v>
      </c>
      <c r="B64" s="3">
        <v>45230</v>
      </c>
      <c r="C64" t="s">
        <v>1</v>
      </c>
      <c r="D64" t="s">
        <v>41</v>
      </c>
      <c r="E64" t="s">
        <v>42</v>
      </c>
      <c r="F64" t="s">
        <v>43</v>
      </c>
      <c r="G64">
        <v>8</v>
      </c>
      <c r="H64">
        <v>687.32</v>
      </c>
      <c r="I64">
        <v>460.58</v>
      </c>
      <c r="J64">
        <v>20</v>
      </c>
      <c r="K64">
        <v>13</v>
      </c>
      <c r="L64" t="s">
        <v>18</v>
      </c>
      <c r="M64">
        <v>5498.56</v>
      </c>
      <c r="N64">
        <v>3684.64</v>
      </c>
      <c r="O64">
        <v>1813.9200000000005</v>
      </c>
      <c r="P64">
        <f t="shared" si="6"/>
        <v>989.74080000000004</v>
      </c>
      <c r="R64" t="s">
        <v>262</v>
      </c>
      <c r="S64" t="s">
        <v>272</v>
      </c>
    </row>
    <row r="65" spans="1:19" x14ac:dyDescent="0.35">
      <c r="A65" t="s">
        <v>118</v>
      </c>
      <c r="B65" s="3">
        <v>45094</v>
      </c>
      <c r="C65" t="s">
        <v>6</v>
      </c>
      <c r="D65" t="s">
        <v>56</v>
      </c>
      <c r="E65" t="s">
        <v>30</v>
      </c>
      <c r="F65" t="s">
        <v>11</v>
      </c>
      <c r="G65">
        <v>7</v>
      </c>
      <c r="H65">
        <v>98.27</v>
      </c>
      <c r="I65">
        <v>76.489999999999995</v>
      </c>
      <c r="J65">
        <v>0</v>
      </c>
      <c r="K65">
        <v>43</v>
      </c>
      <c r="L65" t="s">
        <v>18</v>
      </c>
      <c r="M65">
        <v>687.89</v>
      </c>
      <c r="N65">
        <v>535.42999999999995</v>
      </c>
      <c r="O65">
        <v>152.46000000000004</v>
      </c>
      <c r="P65">
        <f t="shared" si="6"/>
        <v>123.8202</v>
      </c>
      <c r="R65" s="3">
        <v>44971</v>
      </c>
      <c r="S65">
        <f>VLOOKUP(R65,B1:L9,8,0)</f>
        <v>130</v>
      </c>
    </row>
    <row r="66" spans="1:19" x14ac:dyDescent="0.35">
      <c r="A66" t="s">
        <v>119</v>
      </c>
      <c r="B66" s="3">
        <v>45167</v>
      </c>
      <c r="C66" t="s">
        <v>32</v>
      </c>
      <c r="D66" t="s">
        <v>50</v>
      </c>
      <c r="E66" t="s">
        <v>25</v>
      </c>
      <c r="F66" t="s">
        <v>26</v>
      </c>
      <c r="G66">
        <v>6</v>
      </c>
      <c r="H66">
        <v>479.38</v>
      </c>
      <c r="I66">
        <v>383</v>
      </c>
      <c r="J66">
        <v>15</v>
      </c>
      <c r="K66">
        <v>42</v>
      </c>
      <c r="L66" t="s">
        <v>38</v>
      </c>
      <c r="M66">
        <v>2876.2799999999997</v>
      </c>
      <c r="N66">
        <v>2298</v>
      </c>
      <c r="O66">
        <v>578.27999999999975</v>
      </c>
      <c r="P66">
        <f t="shared" ref="P66:P97" si="12">M66*$Q$2</f>
        <v>517.73039999999992</v>
      </c>
      <c r="R66" s="3">
        <v>45028</v>
      </c>
      <c r="S66">
        <f t="shared" ref="S66:S68" si="13">VLOOKUP(R66,B2:L10,8,0)</f>
        <v>55.91</v>
      </c>
    </row>
    <row r="67" spans="1:19" x14ac:dyDescent="0.35">
      <c r="A67" t="s">
        <v>120</v>
      </c>
      <c r="B67" s="3">
        <v>45053</v>
      </c>
      <c r="C67" t="s">
        <v>64</v>
      </c>
      <c r="D67" t="s">
        <v>65</v>
      </c>
      <c r="E67" t="s">
        <v>3</v>
      </c>
      <c r="F67" t="s">
        <v>3</v>
      </c>
      <c r="G67">
        <v>6</v>
      </c>
      <c r="H67">
        <v>135.15</v>
      </c>
      <c r="I67">
        <v>119.87</v>
      </c>
      <c r="J67">
        <v>0</v>
      </c>
      <c r="K67">
        <v>106</v>
      </c>
      <c r="L67" t="s">
        <v>38</v>
      </c>
      <c r="M67">
        <v>810.90000000000009</v>
      </c>
      <c r="N67">
        <v>719.22</v>
      </c>
      <c r="O67">
        <v>91.680000000000064</v>
      </c>
      <c r="P67">
        <f t="shared" si="12"/>
        <v>145.96200000000002</v>
      </c>
      <c r="R67" s="3">
        <v>45284</v>
      </c>
      <c r="S67">
        <f t="shared" si="13"/>
        <v>230.11</v>
      </c>
    </row>
    <row r="68" spans="1:19" x14ac:dyDescent="0.35">
      <c r="A68" t="s">
        <v>121</v>
      </c>
      <c r="B68" s="3">
        <v>45285</v>
      </c>
      <c r="C68" t="s">
        <v>32</v>
      </c>
      <c r="D68" t="s">
        <v>91</v>
      </c>
      <c r="E68" t="s">
        <v>42</v>
      </c>
      <c r="F68" t="s">
        <v>43</v>
      </c>
      <c r="G68">
        <v>4</v>
      </c>
      <c r="H68">
        <v>98.28</v>
      </c>
      <c r="I68">
        <v>71.849999999999994</v>
      </c>
      <c r="J68">
        <v>20</v>
      </c>
      <c r="K68">
        <v>37</v>
      </c>
      <c r="L68" t="s">
        <v>18</v>
      </c>
      <c r="M68">
        <v>393.12</v>
      </c>
      <c r="N68">
        <v>287.39999999999998</v>
      </c>
      <c r="O68">
        <v>105.72000000000003</v>
      </c>
      <c r="P68">
        <f t="shared" si="12"/>
        <v>70.761600000000001</v>
      </c>
      <c r="R68" s="3">
        <v>44976</v>
      </c>
      <c r="S68">
        <f t="shared" si="13"/>
        <v>115.5</v>
      </c>
    </row>
    <row r="69" spans="1:19" x14ac:dyDescent="0.35">
      <c r="A69" t="s">
        <v>122</v>
      </c>
      <c r="B69" s="3">
        <v>45086</v>
      </c>
      <c r="C69" t="s">
        <v>20</v>
      </c>
      <c r="D69" t="s">
        <v>21</v>
      </c>
      <c r="E69" t="s">
        <v>42</v>
      </c>
      <c r="F69" t="s">
        <v>43</v>
      </c>
      <c r="G69">
        <v>10</v>
      </c>
      <c r="H69">
        <v>430.31</v>
      </c>
      <c r="I69">
        <v>307.55</v>
      </c>
      <c r="J69">
        <v>0</v>
      </c>
      <c r="K69">
        <v>109</v>
      </c>
      <c r="L69" t="s">
        <v>12</v>
      </c>
      <c r="M69">
        <v>4303.1000000000004</v>
      </c>
      <c r="N69">
        <v>3075.5</v>
      </c>
      <c r="O69">
        <v>1227.6000000000004</v>
      </c>
      <c r="P69">
        <f t="shared" si="12"/>
        <v>774.55799999999999</v>
      </c>
    </row>
    <row r="70" spans="1:19" x14ac:dyDescent="0.35">
      <c r="A70" t="s">
        <v>123</v>
      </c>
      <c r="B70" s="3">
        <v>44965</v>
      </c>
      <c r="C70" t="s">
        <v>64</v>
      </c>
      <c r="D70" t="s">
        <v>65</v>
      </c>
      <c r="E70" t="s">
        <v>3</v>
      </c>
      <c r="F70" t="s">
        <v>3</v>
      </c>
      <c r="G70">
        <v>5</v>
      </c>
      <c r="H70">
        <v>427.46</v>
      </c>
      <c r="I70">
        <v>292.14</v>
      </c>
      <c r="J70">
        <v>15</v>
      </c>
      <c r="K70">
        <v>60</v>
      </c>
      <c r="L70" t="s">
        <v>12</v>
      </c>
      <c r="M70">
        <v>2137.2999999999997</v>
      </c>
      <c r="N70">
        <v>1460.6999999999998</v>
      </c>
      <c r="O70">
        <v>676.59999999999991</v>
      </c>
      <c r="P70">
        <f t="shared" si="12"/>
        <v>384.71399999999994</v>
      </c>
      <c r="R70" t="s">
        <v>263</v>
      </c>
      <c r="S70" t="s">
        <v>264</v>
      </c>
    </row>
    <row r="71" spans="1:19" x14ac:dyDescent="0.35">
      <c r="A71" t="s">
        <v>124</v>
      </c>
      <c r="B71" s="3">
        <v>44948</v>
      </c>
      <c r="C71" t="s">
        <v>6</v>
      </c>
      <c r="D71" t="s">
        <v>62</v>
      </c>
      <c r="E71" t="s">
        <v>30</v>
      </c>
      <c r="F71" t="s">
        <v>11</v>
      </c>
      <c r="G71">
        <v>5</v>
      </c>
      <c r="H71">
        <v>571.77</v>
      </c>
      <c r="I71">
        <v>426.64</v>
      </c>
      <c r="J71">
        <v>0</v>
      </c>
      <c r="K71">
        <v>111</v>
      </c>
      <c r="L71" t="s">
        <v>4</v>
      </c>
      <c r="M71">
        <v>2858.85</v>
      </c>
      <c r="N71">
        <v>2133.1999999999998</v>
      </c>
      <c r="O71">
        <v>725.65000000000009</v>
      </c>
      <c r="P71">
        <f t="shared" si="12"/>
        <v>514.59299999999996</v>
      </c>
      <c r="R71" t="s">
        <v>1</v>
      </c>
      <c r="S71" t="str">
        <f>VLOOKUP(Table15[[#This Row],[Product Category]],C1:D9,2,0)</f>
        <v>Shampoo</v>
      </c>
    </row>
    <row r="72" spans="1:19" x14ac:dyDescent="0.35">
      <c r="A72" t="s">
        <v>125</v>
      </c>
      <c r="B72" s="3">
        <v>45177</v>
      </c>
      <c r="C72" t="s">
        <v>20</v>
      </c>
      <c r="D72" t="s">
        <v>35</v>
      </c>
      <c r="E72" t="s">
        <v>10</v>
      </c>
      <c r="F72" t="s">
        <v>11</v>
      </c>
      <c r="G72">
        <v>6</v>
      </c>
      <c r="H72">
        <v>59.51</v>
      </c>
      <c r="I72">
        <v>43.79</v>
      </c>
      <c r="J72">
        <v>0</v>
      </c>
      <c r="K72">
        <v>118</v>
      </c>
      <c r="L72" t="s">
        <v>18</v>
      </c>
      <c r="M72">
        <v>357.06</v>
      </c>
      <c r="N72">
        <v>262.74</v>
      </c>
      <c r="O72">
        <v>94.32</v>
      </c>
      <c r="P72">
        <f t="shared" si="12"/>
        <v>64.270799999999994</v>
      </c>
      <c r="R72" t="s">
        <v>6</v>
      </c>
      <c r="S72" t="str">
        <f>VLOOKUP(Table15[[#This Row],[Product Category]],C2:D10,2,0)</f>
        <v>Donut</v>
      </c>
    </row>
    <row r="73" spans="1:19" x14ac:dyDescent="0.35">
      <c r="A73" t="s">
        <v>126</v>
      </c>
      <c r="B73" s="3">
        <v>45242</v>
      </c>
      <c r="C73" t="s">
        <v>64</v>
      </c>
      <c r="D73" t="s">
        <v>81</v>
      </c>
      <c r="E73" t="s">
        <v>25</v>
      </c>
      <c r="F73" t="s">
        <v>26</v>
      </c>
      <c r="G73">
        <v>8</v>
      </c>
      <c r="H73">
        <v>454.35</v>
      </c>
      <c r="I73">
        <v>356.58</v>
      </c>
      <c r="J73">
        <v>20</v>
      </c>
      <c r="K73">
        <v>93</v>
      </c>
      <c r="L73" t="s">
        <v>27</v>
      </c>
      <c r="M73">
        <v>3634.8</v>
      </c>
      <c r="N73">
        <v>2852.64</v>
      </c>
      <c r="O73">
        <v>782.16000000000031</v>
      </c>
      <c r="P73">
        <f t="shared" si="12"/>
        <v>654.26400000000001</v>
      </c>
      <c r="R73" t="s">
        <v>1</v>
      </c>
      <c r="S73" t="str">
        <f>VLOOKUP(Table15[[#This Row],[Product Category]],C3:D11,2,0)</f>
        <v>Face Wash</v>
      </c>
    </row>
    <row r="74" spans="1:19" x14ac:dyDescent="0.35">
      <c r="A74" t="s">
        <v>127</v>
      </c>
      <c r="B74" s="3">
        <v>44971</v>
      </c>
      <c r="C74" t="s">
        <v>23</v>
      </c>
      <c r="D74" t="s">
        <v>24</v>
      </c>
      <c r="E74" t="s">
        <v>59</v>
      </c>
      <c r="F74" t="s">
        <v>60</v>
      </c>
      <c r="G74">
        <v>8</v>
      </c>
      <c r="H74">
        <v>311.11</v>
      </c>
      <c r="I74">
        <v>223.43</v>
      </c>
      <c r="J74">
        <v>10</v>
      </c>
      <c r="K74">
        <v>51</v>
      </c>
      <c r="L74" t="s">
        <v>12</v>
      </c>
      <c r="M74">
        <v>2488.88</v>
      </c>
      <c r="N74">
        <v>1787.44</v>
      </c>
      <c r="O74">
        <v>701.44</v>
      </c>
      <c r="P74">
        <f t="shared" si="12"/>
        <v>447.9984</v>
      </c>
      <c r="R74" t="s">
        <v>14</v>
      </c>
      <c r="S74" t="str">
        <f>VLOOKUP(Table15[[#This Row],[Product Category]],C4:D12,2,0)</f>
        <v>Juice</v>
      </c>
    </row>
    <row r="75" spans="1:19" x14ac:dyDescent="0.35">
      <c r="A75" t="s">
        <v>128</v>
      </c>
      <c r="B75" s="3">
        <v>45093</v>
      </c>
      <c r="C75" t="s">
        <v>20</v>
      </c>
      <c r="D75" t="s">
        <v>129</v>
      </c>
      <c r="E75" t="s">
        <v>36</v>
      </c>
      <c r="F75" t="s">
        <v>37</v>
      </c>
      <c r="G75">
        <v>8</v>
      </c>
      <c r="H75">
        <v>395.46</v>
      </c>
      <c r="I75">
        <v>289.23</v>
      </c>
      <c r="J75">
        <v>10</v>
      </c>
      <c r="K75">
        <v>13</v>
      </c>
      <c r="L75" t="s">
        <v>18</v>
      </c>
      <c r="M75">
        <v>3163.68</v>
      </c>
      <c r="N75">
        <v>2313.84</v>
      </c>
      <c r="O75">
        <v>849.83999999999969</v>
      </c>
      <c r="P75">
        <f t="shared" si="12"/>
        <v>569.4624</v>
      </c>
    </row>
    <row r="76" spans="1:19" x14ac:dyDescent="0.35">
      <c r="A76" t="s">
        <v>130</v>
      </c>
      <c r="B76" s="3">
        <v>45211</v>
      </c>
      <c r="C76" t="s">
        <v>32</v>
      </c>
      <c r="D76" t="s">
        <v>50</v>
      </c>
      <c r="E76" t="s">
        <v>36</v>
      </c>
      <c r="F76" t="s">
        <v>37</v>
      </c>
      <c r="G76">
        <v>6</v>
      </c>
      <c r="H76">
        <v>495.62</v>
      </c>
      <c r="I76">
        <v>400.94</v>
      </c>
      <c r="J76">
        <v>20</v>
      </c>
      <c r="K76">
        <v>99</v>
      </c>
      <c r="L76" t="s">
        <v>27</v>
      </c>
      <c r="M76">
        <v>2973.7200000000003</v>
      </c>
      <c r="N76">
        <v>2405.64</v>
      </c>
      <c r="O76">
        <v>568.08000000000038</v>
      </c>
      <c r="P76">
        <f t="shared" si="12"/>
        <v>535.26960000000008</v>
      </c>
      <c r="R76" t="s">
        <v>273</v>
      </c>
      <c r="S76" t="s">
        <v>275</v>
      </c>
    </row>
    <row r="77" spans="1:19" x14ac:dyDescent="0.35">
      <c r="A77" t="s">
        <v>131</v>
      </c>
      <c r="B77" s="3">
        <v>45280</v>
      </c>
      <c r="C77" t="s">
        <v>64</v>
      </c>
      <c r="D77" t="s">
        <v>65</v>
      </c>
      <c r="E77" t="s">
        <v>36</v>
      </c>
      <c r="F77" t="s">
        <v>37</v>
      </c>
      <c r="G77">
        <v>2</v>
      </c>
      <c r="H77">
        <v>161.94</v>
      </c>
      <c r="I77">
        <v>128.26</v>
      </c>
      <c r="J77">
        <v>20</v>
      </c>
      <c r="K77">
        <v>107</v>
      </c>
      <c r="L77" t="s">
        <v>12</v>
      </c>
      <c r="M77">
        <v>323.88</v>
      </c>
      <c r="N77">
        <v>256.52</v>
      </c>
      <c r="O77">
        <v>67.360000000000014</v>
      </c>
      <c r="P77">
        <f t="shared" si="12"/>
        <v>58.298399999999994</v>
      </c>
      <c r="R77">
        <v>751.3</v>
      </c>
      <c r="S77">
        <f>VLOOKUP(R77,M1:O9,3,FALSE)</f>
        <v>101.29999999999995</v>
      </c>
    </row>
    <row r="78" spans="1:19" x14ac:dyDescent="0.35">
      <c r="A78" t="s">
        <v>132</v>
      </c>
      <c r="B78" s="3">
        <v>45115</v>
      </c>
      <c r="C78" t="s">
        <v>14</v>
      </c>
      <c r="D78" t="s">
        <v>104</v>
      </c>
      <c r="E78" t="s">
        <v>59</v>
      </c>
      <c r="F78" t="s">
        <v>60</v>
      </c>
      <c r="G78">
        <v>1</v>
      </c>
      <c r="H78">
        <v>66.09</v>
      </c>
      <c r="I78">
        <v>55.6</v>
      </c>
      <c r="J78">
        <v>5</v>
      </c>
      <c r="K78">
        <v>49</v>
      </c>
      <c r="L78" t="s">
        <v>4</v>
      </c>
      <c r="M78">
        <v>66.09</v>
      </c>
      <c r="N78">
        <v>55.6</v>
      </c>
      <c r="O78">
        <v>10.490000000000002</v>
      </c>
      <c r="P78">
        <f t="shared" si="12"/>
        <v>11.8962</v>
      </c>
      <c r="R78">
        <v>66.7</v>
      </c>
      <c r="S78">
        <f t="shared" ref="S78:S80" si="14">VLOOKUP(R78,M2:O10,3,FALSE)</f>
        <v>10.790000000000006</v>
      </c>
    </row>
    <row r="79" spans="1:19" x14ac:dyDescent="0.35">
      <c r="A79" t="s">
        <v>133</v>
      </c>
      <c r="B79" s="3">
        <v>45065</v>
      </c>
      <c r="C79" t="s">
        <v>14</v>
      </c>
      <c r="D79" t="s">
        <v>73</v>
      </c>
      <c r="E79" t="s">
        <v>25</v>
      </c>
      <c r="F79" t="s">
        <v>26</v>
      </c>
      <c r="G79">
        <v>7</v>
      </c>
      <c r="H79">
        <v>657.9</v>
      </c>
      <c r="I79">
        <v>498.35</v>
      </c>
      <c r="J79">
        <v>10</v>
      </c>
      <c r="K79">
        <v>99</v>
      </c>
      <c r="L79" t="s">
        <v>18</v>
      </c>
      <c r="M79">
        <v>4605.3</v>
      </c>
      <c r="N79">
        <v>3488.4500000000003</v>
      </c>
      <c r="O79">
        <v>1116.8499999999999</v>
      </c>
      <c r="P79">
        <f t="shared" si="12"/>
        <v>828.95399999999995</v>
      </c>
      <c r="R79">
        <v>1114.92</v>
      </c>
      <c r="S79">
        <f t="shared" si="14"/>
        <v>194.48000000000002</v>
      </c>
    </row>
    <row r="80" spans="1:19" x14ac:dyDescent="0.35">
      <c r="A80" t="s">
        <v>134</v>
      </c>
      <c r="B80" s="3">
        <v>45025</v>
      </c>
      <c r="C80" t="s">
        <v>20</v>
      </c>
      <c r="D80" t="s">
        <v>21</v>
      </c>
      <c r="E80" t="s">
        <v>36</v>
      </c>
      <c r="F80" t="s">
        <v>37</v>
      </c>
      <c r="G80">
        <v>2</v>
      </c>
      <c r="H80">
        <v>445.64</v>
      </c>
      <c r="I80">
        <v>363.43</v>
      </c>
      <c r="J80">
        <v>20</v>
      </c>
      <c r="K80">
        <v>107</v>
      </c>
      <c r="L80" t="s">
        <v>12</v>
      </c>
      <c r="M80">
        <v>891.28</v>
      </c>
      <c r="N80">
        <v>726.86</v>
      </c>
      <c r="O80">
        <v>164.41999999999996</v>
      </c>
      <c r="P80">
        <f t="shared" si="12"/>
        <v>160.43039999999999</v>
      </c>
      <c r="R80">
        <v>486.96</v>
      </c>
      <c r="S80">
        <f t="shared" si="14"/>
        <v>140.45999999999998</v>
      </c>
    </row>
    <row r="81" spans="1:19" x14ac:dyDescent="0.35">
      <c r="A81" t="s">
        <v>135</v>
      </c>
      <c r="B81" s="3">
        <v>45078</v>
      </c>
      <c r="C81" t="s">
        <v>32</v>
      </c>
      <c r="D81" t="s">
        <v>50</v>
      </c>
      <c r="E81" t="s">
        <v>16</v>
      </c>
      <c r="F81" t="s">
        <v>17</v>
      </c>
      <c r="G81">
        <v>10</v>
      </c>
      <c r="H81">
        <v>639.91999999999996</v>
      </c>
      <c r="I81">
        <v>488.54</v>
      </c>
      <c r="J81">
        <v>10</v>
      </c>
      <c r="K81">
        <v>22</v>
      </c>
      <c r="L81" t="s">
        <v>12</v>
      </c>
      <c r="M81">
        <v>6399.2</v>
      </c>
      <c r="N81">
        <v>4885.4000000000005</v>
      </c>
      <c r="O81">
        <v>1513.7999999999993</v>
      </c>
      <c r="P81">
        <f t="shared" si="12"/>
        <v>1151.856</v>
      </c>
    </row>
    <row r="82" spans="1:19" x14ac:dyDescent="0.35">
      <c r="A82" t="s">
        <v>136</v>
      </c>
      <c r="B82" s="3">
        <v>45210</v>
      </c>
      <c r="C82" t="s">
        <v>32</v>
      </c>
      <c r="D82" t="s">
        <v>33</v>
      </c>
      <c r="E82" t="s">
        <v>42</v>
      </c>
      <c r="F82" t="s">
        <v>43</v>
      </c>
      <c r="G82">
        <v>5</v>
      </c>
      <c r="H82">
        <v>22.24</v>
      </c>
      <c r="I82">
        <v>16.93</v>
      </c>
      <c r="J82">
        <v>10</v>
      </c>
      <c r="K82">
        <v>15</v>
      </c>
      <c r="L82" t="s">
        <v>38</v>
      </c>
      <c r="M82">
        <v>111.19999999999999</v>
      </c>
      <c r="N82">
        <v>84.65</v>
      </c>
      <c r="O82">
        <v>26.549999999999983</v>
      </c>
      <c r="P82">
        <f t="shared" si="12"/>
        <v>20.015999999999998</v>
      </c>
      <c r="R82" t="s">
        <v>267</v>
      </c>
      <c r="S82" t="s">
        <v>269</v>
      </c>
    </row>
    <row r="83" spans="1:19" x14ac:dyDescent="0.35">
      <c r="A83" t="s">
        <v>137</v>
      </c>
      <c r="B83" s="3">
        <v>45101</v>
      </c>
      <c r="C83" t="s">
        <v>20</v>
      </c>
      <c r="D83" t="s">
        <v>87</v>
      </c>
      <c r="E83" t="s">
        <v>59</v>
      </c>
      <c r="F83" t="s">
        <v>60</v>
      </c>
      <c r="G83">
        <v>2</v>
      </c>
      <c r="H83">
        <v>581.88</v>
      </c>
      <c r="I83">
        <v>437.63</v>
      </c>
      <c r="J83">
        <v>15</v>
      </c>
      <c r="K83">
        <v>71</v>
      </c>
      <c r="L83" t="s">
        <v>18</v>
      </c>
      <c r="M83">
        <v>1163.76</v>
      </c>
      <c r="N83">
        <v>875.26</v>
      </c>
      <c r="O83">
        <v>288.5</v>
      </c>
      <c r="P83">
        <f t="shared" si="12"/>
        <v>209.4768</v>
      </c>
      <c r="R83">
        <v>5</v>
      </c>
      <c r="S83">
        <f>VLOOKUP(R83,G1:I8,3,0)</f>
        <v>130</v>
      </c>
    </row>
    <row r="84" spans="1:19" x14ac:dyDescent="0.35">
      <c r="A84" t="s">
        <v>138</v>
      </c>
      <c r="B84" s="3">
        <v>45249</v>
      </c>
      <c r="C84" t="s">
        <v>32</v>
      </c>
      <c r="D84" t="s">
        <v>91</v>
      </c>
      <c r="E84" t="s">
        <v>16</v>
      </c>
      <c r="F84" t="s">
        <v>17</v>
      </c>
      <c r="G84">
        <v>8</v>
      </c>
      <c r="H84">
        <v>74.209999999999994</v>
      </c>
      <c r="I84">
        <v>65.900000000000006</v>
      </c>
      <c r="J84">
        <v>15</v>
      </c>
      <c r="K84">
        <v>19</v>
      </c>
      <c r="L84" t="s">
        <v>4</v>
      </c>
      <c r="M84">
        <v>593.67999999999995</v>
      </c>
      <c r="N84">
        <v>527.20000000000005</v>
      </c>
      <c r="O84">
        <v>66.479999999999905</v>
      </c>
      <c r="P84">
        <f t="shared" si="12"/>
        <v>106.86239999999999</v>
      </c>
      <c r="R84">
        <v>1</v>
      </c>
      <c r="S84">
        <f t="shared" ref="S84:S86" si="15">VLOOKUP(R84,G2:I9,3,0)</f>
        <v>55.91</v>
      </c>
    </row>
    <row r="85" spans="1:19" x14ac:dyDescent="0.35">
      <c r="A85" t="s">
        <v>139</v>
      </c>
      <c r="B85" s="3">
        <v>45212</v>
      </c>
      <c r="C85" t="s">
        <v>1</v>
      </c>
      <c r="D85" t="s">
        <v>2</v>
      </c>
      <c r="E85" t="s">
        <v>42</v>
      </c>
      <c r="F85" t="s">
        <v>43</v>
      </c>
      <c r="G85">
        <v>3</v>
      </c>
      <c r="H85">
        <v>602.9</v>
      </c>
      <c r="I85">
        <v>407.46</v>
      </c>
      <c r="J85">
        <v>0</v>
      </c>
      <c r="K85">
        <v>41</v>
      </c>
      <c r="L85" t="s">
        <v>38</v>
      </c>
      <c r="M85">
        <v>1808.6999999999998</v>
      </c>
      <c r="N85">
        <v>1222.3799999999999</v>
      </c>
      <c r="O85">
        <v>586.31999999999994</v>
      </c>
      <c r="P85">
        <f t="shared" si="12"/>
        <v>325.56599999999997</v>
      </c>
      <c r="R85">
        <v>4</v>
      </c>
      <c r="S85">
        <f t="shared" si="15"/>
        <v>230.11</v>
      </c>
    </row>
    <row r="86" spans="1:19" x14ac:dyDescent="0.35">
      <c r="A86" t="s">
        <v>140</v>
      </c>
      <c r="B86" s="3">
        <v>45146</v>
      </c>
      <c r="C86" t="s">
        <v>23</v>
      </c>
      <c r="D86" t="s">
        <v>141</v>
      </c>
      <c r="E86" t="s">
        <v>36</v>
      </c>
      <c r="F86" t="s">
        <v>37</v>
      </c>
      <c r="G86">
        <v>9</v>
      </c>
      <c r="H86">
        <v>287.39999999999998</v>
      </c>
      <c r="I86">
        <v>196.39</v>
      </c>
      <c r="J86">
        <v>10</v>
      </c>
      <c r="K86">
        <v>120</v>
      </c>
      <c r="L86" t="s">
        <v>4</v>
      </c>
      <c r="M86">
        <v>2586.6</v>
      </c>
      <c r="N86">
        <v>1767.5099999999998</v>
      </c>
      <c r="O86">
        <v>819.09000000000015</v>
      </c>
      <c r="P86">
        <f t="shared" si="12"/>
        <v>465.58799999999997</v>
      </c>
      <c r="R86">
        <v>3</v>
      </c>
      <c r="S86">
        <f t="shared" si="15"/>
        <v>115.5</v>
      </c>
    </row>
    <row r="87" spans="1:19" x14ac:dyDescent="0.35">
      <c r="A87" t="s">
        <v>142</v>
      </c>
      <c r="B87" s="3">
        <v>45062</v>
      </c>
      <c r="C87" t="s">
        <v>20</v>
      </c>
      <c r="D87" t="s">
        <v>35</v>
      </c>
      <c r="E87" t="s">
        <v>3</v>
      </c>
      <c r="F87" t="s">
        <v>3</v>
      </c>
      <c r="G87">
        <v>10</v>
      </c>
      <c r="H87">
        <v>547.57000000000005</v>
      </c>
      <c r="I87">
        <v>480.45</v>
      </c>
      <c r="J87">
        <v>5</v>
      </c>
      <c r="K87">
        <v>90</v>
      </c>
      <c r="L87" t="s">
        <v>12</v>
      </c>
      <c r="M87">
        <v>5475.7000000000007</v>
      </c>
      <c r="N87">
        <v>4804.5</v>
      </c>
      <c r="O87">
        <v>671.20000000000073</v>
      </c>
      <c r="P87">
        <f t="shared" si="12"/>
        <v>985.62600000000009</v>
      </c>
    </row>
    <row r="88" spans="1:19" x14ac:dyDescent="0.35">
      <c r="A88" t="s">
        <v>143</v>
      </c>
      <c r="B88" s="3">
        <v>45279</v>
      </c>
      <c r="C88" t="s">
        <v>1</v>
      </c>
      <c r="D88" t="s">
        <v>2</v>
      </c>
      <c r="E88" t="s">
        <v>42</v>
      </c>
      <c r="F88" t="s">
        <v>43</v>
      </c>
      <c r="G88">
        <v>4</v>
      </c>
      <c r="H88">
        <v>107.54</v>
      </c>
      <c r="I88">
        <v>95.17</v>
      </c>
      <c r="J88">
        <v>0</v>
      </c>
      <c r="K88">
        <v>62</v>
      </c>
      <c r="L88" t="s">
        <v>18</v>
      </c>
      <c r="M88">
        <v>430.16</v>
      </c>
      <c r="N88">
        <v>380.68</v>
      </c>
      <c r="O88">
        <v>49.480000000000018</v>
      </c>
      <c r="P88">
        <f t="shared" si="12"/>
        <v>77.428799999999995</v>
      </c>
      <c r="R88" t="s">
        <v>271</v>
      </c>
      <c r="S88" t="s">
        <v>272</v>
      </c>
    </row>
    <row r="89" spans="1:19" x14ac:dyDescent="0.35">
      <c r="A89" t="s">
        <v>144</v>
      </c>
      <c r="B89" s="3">
        <v>45062</v>
      </c>
      <c r="C89" t="s">
        <v>6</v>
      </c>
      <c r="D89" t="s">
        <v>7</v>
      </c>
      <c r="E89" t="s">
        <v>16</v>
      </c>
      <c r="F89" t="s">
        <v>17</v>
      </c>
      <c r="G89">
        <v>1</v>
      </c>
      <c r="H89">
        <v>170.66</v>
      </c>
      <c r="I89">
        <v>123.42</v>
      </c>
      <c r="J89">
        <v>15</v>
      </c>
      <c r="K89">
        <v>19</v>
      </c>
      <c r="L89" t="s">
        <v>12</v>
      </c>
      <c r="M89">
        <v>170.66</v>
      </c>
      <c r="N89">
        <v>123.42</v>
      </c>
      <c r="O89">
        <v>47.239999999999995</v>
      </c>
      <c r="P89">
        <f t="shared" si="12"/>
        <v>30.718799999999998</v>
      </c>
      <c r="R89">
        <v>96</v>
      </c>
      <c r="S89" t="str">
        <f>VLOOKUP(R89,K1:L7,2,0)</f>
        <v>Wallet</v>
      </c>
    </row>
    <row r="90" spans="1:19" x14ac:dyDescent="0.35">
      <c r="A90" t="s">
        <v>145</v>
      </c>
      <c r="B90" s="3">
        <v>44963</v>
      </c>
      <c r="C90" t="s">
        <v>23</v>
      </c>
      <c r="D90" t="s">
        <v>24</v>
      </c>
      <c r="E90" t="s">
        <v>36</v>
      </c>
      <c r="F90" t="s">
        <v>37</v>
      </c>
      <c r="G90">
        <v>7</v>
      </c>
      <c r="H90">
        <v>78.819999999999993</v>
      </c>
      <c r="I90">
        <v>66.239999999999995</v>
      </c>
      <c r="J90">
        <v>5</v>
      </c>
      <c r="K90">
        <v>44</v>
      </c>
      <c r="L90" t="s">
        <v>12</v>
      </c>
      <c r="M90">
        <v>551.74</v>
      </c>
      <c r="N90">
        <v>463.67999999999995</v>
      </c>
      <c r="O90">
        <v>88.060000000000059</v>
      </c>
      <c r="P90">
        <f t="shared" si="12"/>
        <v>99.313199999999995</v>
      </c>
      <c r="R90">
        <v>13</v>
      </c>
      <c r="S90" t="str">
        <f t="shared" ref="S90:S92" si="16">VLOOKUP(R90,K2:L8,2,0)</f>
        <v>Wallet</v>
      </c>
    </row>
    <row r="91" spans="1:19" x14ac:dyDescent="0.35">
      <c r="A91" t="s">
        <v>146</v>
      </c>
      <c r="B91" s="3">
        <v>45166</v>
      </c>
      <c r="C91" t="s">
        <v>64</v>
      </c>
      <c r="D91" t="s">
        <v>77</v>
      </c>
      <c r="E91" t="s">
        <v>16</v>
      </c>
      <c r="F91" t="s">
        <v>17</v>
      </c>
      <c r="G91">
        <v>10</v>
      </c>
      <c r="H91">
        <v>500.52</v>
      </c>
      <c r="I91">
        <v>376.99</v>
      </c>
      <c r="J91">
        <v>10</v>
      </c>
      <c r="K91">
        <v>66</v>
      </c>
      <c r="L91" t="s">
        <v>38</v>
      </c>
      <c r="M91">
        <v>5005.2</v>
      </c>
      <c r="N91">
        <v>3769.9</v>
      </c>
      <c r="O91">
        <v>1235.2999999999997</v>
      </c>
      <c r="P91">
        <f t="shared" si="12"/>
        <v>900.93599999999992</v>
      </c>
      <c r="R91">
        <v>107</v>
      </c>
      <c r="S91" t="str">
        <f t="shared" si="16"/>
        <v>Credit Card</v>
      </c>
    </row>
    <row r="92" spans="1:19" x14ac:dyDescent="0.35">
      <c r="A92" t="s">
        <v>147</v>
      </c>
      <c r="B92" s="3">
        <v>45148</v>
      </c>
      <c r="C92" t="s">
        <v>1</v>
      </c>
      <c r="D92" t="s">
        <v>75</v>
      </c>
      <c r="E92" t="s">
        <v>10</v>
      </c>
      <c r="F92" t="s">
        <v>11</v>
      </c>
      <c r="G92">
        <v>5</v>
      </c>
      <c r="H92">
        <v>331.17</v>
      </c>
      <c r="I92">
        <v>255.23</v>
      </c>
      <c r="J92">
        <v>0</v>
      </c>
      <c r="K92">
        <v>86</v>
      </c>
      <c r="L92" t="s">
        <v>38</v>
      </c>
      <c r="M92">
        <v>1655.8500000000001</v>
      </c>
      <c r="N92">
        <v>1276.1499999999999</v>
      </c>
      <c r="O92">
        <v>379.70000000000027</v>
      </c>
      <c r="P92">
        <f t="shared" si="12"/>
        <v>298.053</v>
      </c>
      <c r="R92">
        <v>21</v>
      </c>
      <c r="S92" t="str">
        <f t="shared" si="16"/>
        <v>Cash on Delivery</v>
      </c>
    </row>
    <row r="93" spans="1:19" x14ac:dyDescent="0.35">
      <c r="A93" t="s">
        <v>148</v>
      </c>
      <c r="B93" s="3">
        <v>45271</v>
      </c>
      <c r="C93" t="s">
        <v>1</v>
      </c>
      <c r="D93" t="s">
        <v>75</v>
      </c>
      <c r="E93" t="s">
        <v>16</v>
      </c>
      <c r="F93" t="s">
        <v>17</v>
      </c>
      <c r="G93">
        <v>1</v>
      </c>
      <c r="H93">
        <v>81.290000000000006</v>
      </c>
      <c r="I93">
        <v>54.75</v>
      </c>
      <c r="J93">
        <v>20</v>
      </c>
      <c r="K93">
        <v>85</v>
      </c>
      <c r="L93" t="s">
        <v>38</v>
      </c>
      <c r="M93">
        <v>81.290000000000006</v>
      </c>
      <c r="N93">
        <v>54.75</v>
      </c>
      <c r="O93">
        <v>26.540000000000006</v>
      </c>
      <c r="P93">
        <f t="shared" si="12"/>
        <v>14.632200000000001</v>
      </c>
    </row>
    <row r="94" spans="1:19" x14ac:dyDescent="0.35">
      <c r="A94" t="s">
        <v>149</v>
      </c>
      <c r="B94" s="3">
        <v>45150</v>
      </c>
      <c r="C94" t="s">
        <v>23</v>
      </c>
      <c r="D94" t="s">
        <v>150</v>
      </c>
      <c r="E94" t="s">
        <v>3</v>
      </c>
      <c r="F94" t="s">
        <v>3</v>
      </c>
      <c r="G94">
        <v>3</v>
      </c>
      <c r="H94">
        <v>327.29000000000002</v>
      </c>
      <c r="I94">
        <v>240.55</v>
      </c>
      <c r="J94">
        <v>10</v>
      </c>
      <c r="K94">
        <v>33</v>
      </c>
      <c r="L94" t="s">
        <v>4</v>
      </c>
      <c r="M94">
        <v>981.87000000000012</v>
      </c>
      <c r="N94">
        <v>721.65000000000009</v>
      </c>
      <c r="O94">
        <v>260.22000000000003</v>
      </c>
      <c r="P94">
        <f t="shared" si="12"/>
        <v>176.73660000000001</v>
      </c>
    </row>
    <row r="95" spans="1:19" x14ac:dyDescent="0.35">
      <c r="A95" t="s">
        <v>151</v>
      </c>
      <c r="B95" s="3">
        <v>45095</v>
      </c>
      <c r="C95" t="s">
        <v>1</v>
      </c>
      <c r="D95" t="s">
        <v>41</v>
      </c>
      <c r="E95" t="s">
        <v>30</v>
      </c>
      <c r="F95" t="s">
        <v>11</v>
      </c>
      <c r="G95">
        <v>8</v>
      </c>
      <c r="H95">
        <v>222.61</v>
      </c>
      <c r="I95">
        <v>180.5</v>
      </c>
      <c r="J95">
        <v>0</v>
      </c>
      <c r="K95">
        <v>119</v>
      </c>
      <c r="L95" t="s">
        <v>12</v>
      </c>
      <c r="M95">
        <v>1780.88</v>
      </c>
      <c r="N95">
        <v>1444</v>
      </c>
      <c r="O95">
        <v>336.88000000000011</v>
      </c>
      <c r="P95">
        <f t="shared" si="12"/>
        <v>320.55840000000001</v>
      </c>
    </row>
    <row r="96" spans="1:19" x14ac:dyDescent="0.35">
      <c r="A96" t="s">
        <v>152</v>
      </c>
      <c r="B96" s="3">
        <v>45056</v>
      </c>
      <c r="C96" t="s">
        <v>14</v>
      </c>
      <c r="D96" t="s">
        <v>104</v>
      </c>
      <c r="E96" t="s">
        <v>16</v>
      </c>
      <c r="F96" t="s">
        <v>17</v>
      </c>
      <c r="G96">
        <v>7</v>
      </c>
      <c r="H96">
        <v>539.42999999999995</v>
      </c>
      <c r="I96">
        <v>408.65</v>
      </c>
      <c r="J96">
        <v>15</v>
      </c>
      <c r="K96">
        <v>21</v>
      </c>
      <c r="L96" t="s">
        <v>27</v>
      </c>
      <c r="M96">
        <v>3776.0099999999998</v>
      </c>
      <c r="N96">
        <v>2860.5499999999997</v>
      </c>
      <c r="O96">
        <v>915.46</v>
      </c>
      <c r="P96">
        <f t="shared" si="12"/>
        <v>679.68179999999995</v>
      </c>
    </row>
    <row r="97" spans="1:16" x14ac:dyDescent="0.35">
      <c r="A97" t="s">
        <v>153</v>
      </c>
      <c r="B97" s="3">
        <v>44954</v>
      </c>
      <c r="C97" t="s">
        <v>20</v>
      </c>
      <c r="D97" t="s">
        <v>154</v>
      </c>
      <c r="E97" t="s">
        <v>10</v>
      </c>
      <c r="F97" t="s">
        <v>11</v>
      </c>
      <c r="G97">
        <v>9</v>
      </c>
      <c r="H97">
        <v>455.82</v>
      </c>
      <c r="I97">
        <v>414.21</v>
      </c>
      <c r="J97">
        <v>20</v>
      </c>
      <c r="K97">
        <v>69</v>
      </c>
      <c r="L97" t="s">
        <v>18</v>
      </c>
      <c r="M97">
        <v>4102.38</v>
      </c>
      <c r="N97">
        <v>3727.89</v>
      </c>
      <c r="O97">
        <v>374.49000000000024</v>
      </c>
      <c r="P97">
        <f t="shared" si="12"/>
        <v>738.42840000000001</v>
      </c>
    </row>
    <row r="98" spans="1:16" x14ac:dyDescent="0.35">
      <c r="A98" t="s">
        <v>155</v>
      </c>
      <c r="B98" s="3">
        <v>45208</v>
      </c>
      <c r="C98" t="s">
        <v>32</v>
      </c>
      <c r="D98" t="s">
        <v>156</v>
      </c>
      <c r="E98" t="s">
        <v>25</v>
      </c>
      <c r="F98" t="s">
        <v>26</v>
      </c>
      <c r="G98">
        <v>10</v>
      </c>
      <c r="H98">
        <v>513.95000000000005</v>
      </c>
      <c r="I98">
        <v>380.66</v>
      </c>
      <c r="J98">
        <v>0</v>
      </c>
      <c r="K98">
        <v>36</v>
      </c>
      <c r="L98" t="s">
        <v>27</v>
      </c>
      <c r="M98">
        <v>5139.5</v>
      </c>
      <c r="N98">
        <v>3806.6000000000004</v>
      </c>
      <c r="O98">
        <v>1332.8999999999996</v>
      </c>
      <c r="P98">
        <f t="shared" ref="P98:P129" si="17">M98*$Q$2</f>
        <v>925.11</v>
      </c>
    </row>
    <row r="99" spans="1:16" x14ac:dyDescent="0.35">
      <c r="A99" t="s">
        <v>157</v>
      </c>
      <c r="B99" s="3">
        <v>45290</v>
      </c>
      <c r="C99" t="s">
        <v>32</v>
      </c>
      <c r="D99" t="s">
        <v>33</v>
      </c>
      <c r="E99" t="s">
        <v>59</v>
      </c>
      <c r="F99" t="s">
        <v>60</v>
      </c>
      <c r="G99">
        <v>8</v>
      </c>
      <c r="H99">
        <v>103.5</v>
      </c>
      <c r="I99">
        <v>69.5</v>
      </c>
      <c r="J99">
        <v>20</v>
      </c>
      <c r="K99">
        <v>112</v>
      </c>
      <c r="L99" t="s">
        <v>12</v>
      </c>
      <c r="M99">
        <v>828</v>
      </c>
      <c r="N99">
        <v>556</v>
      </c>
      <c r="O99">
        <v>272</v>
      </c>
      <c r="P99">
        <f t="shared" si="17"/>
        <v>149.04</v>
      </c>
    </row>
    <row r="100" spans="1:16" x14ac:dyDescent="0.35">
      <c r="A100" t="s">
        <v>158</v>
      </c>
      <c r="B100" s="3">
        <v>45258</v>
      </c>
      <c r="C100" t="s">
        <v>32</v>
      </c>
      <c r="D100" t="s">
        <v>33</v>
      </c>
      <c r="E100" t="s">
        <v>3</v>
      </c>
      <c r="F100" t="s">
        <v>3</v>
      </c>
      <c r="G100">
        <v>9</v>
      </c>
      <c r="H100">
        <v>249.78</v>
      </c>
      <c r="I100">
        <v>209.92</v>
      </c>
      <c r="J100">
        <v>0</v>
      </c>
      <c r="K100">
        <v>69</v>
      </c>
      <c r="L100" t="s">
        <v>38</v>
      </c>
      <c r="M100">
        <v>2248.02</v>
      </c>
      <c r="N100">
        <v>1889.28</v>
      </c>
      <c r="O100">
        <v>358.74</v>
      </c>
      <c r="P100">
        <f t="shared" si="17"/>
        <v>404.64359999999999</v>
      </c>
    </row>
    <row r="101" spans="1:16" x14ac:dyDescent="0.35">
      <c r="A101" t="s">
        <v>159</v>
      </c>
      <c r="B101" s="3">
        <v>45160</v>
      </c>
      <c r="C101" t="s">
        <v>23</v>
      </c>
      <c r="D101" t="s">
        <v>29</v>
      </c>
      <c r="E101" t="s">
        <v>59</v>
      </c>
      <c r="F101" t="s">
        <v>60</v>
      </c>
      <c r="G101">
        <v>5</v>
      </c>
      <c r="H101">
        <v>313.64999999999998</v>
      </c>
      <c r="I101">
        <v>259.35000000000002</v>
      </c>
      <c r="J101">
        <v>15</v>
      </c>
      <c r="K101">
        <v>70</v>
      </c>
      <c r="L101" t="s">
        <v>12</v>
      </c>
      <c r="M101">
        <v>1568.25</v>
      </c>
      <c r="N101">
        <v>1296.75</v>
      </c>
      <c r="O101">
        <v>271.5</v>
      </c>
      <c r="P101">
        <f t="shared" si="17"/>
        <v>282.28499999999997</v>
      </c>
    </row>
    <row r="102" spans="1:16" x14ac:dyDescent="0.35">
      <c r="A102" t="s">
        <v>160</v>
      </c>
      <c r="B102" s="3">
        <v>45068</v>
      </c>
      <c r="C102" t="s">
        <v>6</v>
      </c>
      <c r="D102" t="s">
        <v>62</v>
      </c>
      <c r="E102" t="s">
        <v>10</v>
      </c>
      <c r="F102" t="s">
        <v>11</v>
      </c>
      <c r="G102">
        <v>4</v>
      </c>
      <c r="H102">
        <v>601.76</v>
      </c>
      <c r="I102">
        <v>461.72</v>
      </c>
      <c r="J102">
        <v>5</v>
      </c>
      <c r="K102">
        <v>120</v>
      </c>
      <c r="L102" t="s">
        <v>38</v>
      </c>
      <c r="M102">
        <v>2407.04</v>
      </c>
      <c r="N102">
        <v>1846.88</v>
      </c>
      <c r="O102">
        <v>560.15999999999985</v>
      </c>
      <c r="P102">
        <f t="shared" si="17"/>
        <v>433.2672</v>
      </c>
    </row>
    <row r="103" spans="1:16" x14ac:dyDescent="0.35">
      <c r="A103" t="s">
        <v>161</v>
      </c>
      <c r="B103" s="3">
        <v>45223</v>
      </c>
      <c r="C103" t="s">
        <v>23</v>
      </c>
      <c r="D103" t="s">
        <v>141</v>
      </c>
      <c r="E103" t="s">
        <v>25</v>
      </c>
      <c r="F103" t="s">
        <v>26</v>
      </c>
      <c r="G103">
        <v>9</v>
      </c>
      <c r="H103">
        <v>155.15</v>
      </c>
      <c r="I103">
        <v>140.91</v>
      </c>
      <c r="J103">
        <v>10</v>
      </c>
      <c r="K103">
        <v>117</v>
      </c>
      <c r="L103" t="s">
        <v>4</v>
      </c>
      <c r="M103">
        <v>1396.3500000000001</v>
      </c>
      <c r="N103">
        <v>1268.19</v>
      </c>
      <c r="O103">
        <v>128.16000000000008</v>
      </c>
      <c r="P103">
        <f t="shared" si="17"/>
        <v>251.34300000000002</v>
      </c>
    </row>
    <row r="104" spans="1:16" x14ac:dyDescent="0.35">
      <c r="A104" t="s">
        <v>162</v>
      </c>
      <c r="B104" s="3">
        <v>45120</v>
      </c>
      <c r="C104" t="s">
        <v>1</v>
      </c>
      <c r="D104" t="s">
        <v>41</v>
      </c>
      <c r="E104" t="s">
        <v>42</v>
      </c>
      <c r="F104" t="s">
        <v>43</v>
      </c>
      <c r="G104">
        <v>8</v>
      </c>
      <c r="H104">
        <v>339.1</v>
      </c>
      <c r="I104">
        <v>273.89999999999998</v>
      </c>
      <c r="J104">
        <v>20</v>
      </c>
      <c r="K104">
        <v>107</v>
      </c>
      <c r="L104" t="s">
        <v>4</v>
      </c>
      <c r="M104">
        <v>2712.8</v>
      </c>
      <c r="N104">
        <v>2191.1999999999998</v>
      </c>
      <c r="O104">
        <v>521.60000000000036</v>
      </c>
      <c r="P104">
        <f t="shared" si="17"/>
        <v>488.30400000000003</v>
      </c>
    </row>
    <row r="105" spans="1:16" x14ac:dyDescent="0.35">
      <c r="A105" t="s">
        <v>163</v>
      </c>
      <c r="B105" s="3">
        <v>45169</v>
      </c>
      <c r="C105" t="s">
        <v>14</v>
      </c>
      <c r="D105" t="s">
        <v>15</v>
      </c>
      <c r="E105" t="s">
        <v>36</v>
      </c>
      <c r="F105" t="s">
        <v>37</v>
      </c>
      <c r="G105">
        <v>4</v>
      </c>
      <c r="H105">
        <v>346.31</v>
      </c>
      <c r="I105">
        <v>290.18</v>
      </c>
      <c r="J105">
        <v>15</v>
      </c>
      <c r="K105">
        <v>15</v>
      </c>
      <c r="L105" t="s">
        <v>27</v>
      </c>
      <c r="M105">
        <v>1385.24</v>
      </c>
      <c r="N105">
        <v>1160.72</v>
      </c>
      <c r="O105">
        <v>224.51999999999998</v>
      </c>
      <c r="P105">
        <f t="shared" si="17"/>
        <v>249.3432</v>
      </c>
    </row>
    <row r="106" spans="1:16" x14ac:dyDescent="0.35">
      <c r="A106" t="s">
        <v>164</v>
      </c>
      <c r="B106" s="3">
        <v>44978</v>
      </c>
      <c r="C106" t="s">
        <v>1</v>
      </c>
      <c r="D106" t="s">
        <v>41</v>
      </c>
      <c r="E106" t="s">
        <v>10</v>
      </c>
      <c r="F106" t="s">
        <v>11</v>
      </c>
      <c r="G106">
        <v>3</v>
      </c>
      <c r="H106">
        <v>281.72000000000003</v>
      </c>
      <c r="I106">
        <v>252.71</v>
      </c>
      <c r="J106">
        <v>20</v>
      </c>
      <c r="K106">
        <v>85</v>
      </c>
      <c r="L106" t="s">
        <v>27</v>
      </c>
      <c r="M106">
        <v>845.16000000000008</v>
      </c>
      <c r="N106">
        <v>758.13</v>
      </c>
      <c r="O106">
        <v>87.030000000000086</v>
      </c>
      <c r="P106">
        <f t="shared" si="17"/>
        <v>152.12880000000001</v>
      </c>
    </row>
    <row r="107" spans="1:16" x14ac:dyDescent="0.35">
      <c r="A107" t="s">
        <v>165</v>
      </c>
      <c r="B107" s="3">
        <v>44965</v>
      </c>
      <c r="C107" t="s">
        <v>23</v>
      </c>
      <c r="D107" t="s">
        <v>141</v>
      </c>
      <c r="E107" t="s">
        <v>30</v>
      </c>
      <c r="F107" t="s">
        <v>11</v>
      </c>
      <c r="G107">
        <v>9</v>
      </c>
      <c r="H107">
        <v>504.53</v>
      </c>
      <c r="I107">
        <v>456.12</v>
      </c>
      <c r="J107">
        <v>5</v>
      </c>
      <c r="K107">
        <v>62</v>
      </c>
      <c r="L107" t="s">
        <v>12</v>
      </c>
      <c r="M107">
        <v>4540.7699999999995</v>
      </c>
      <c r="N107">
        <v>4105.08</v>
      </c>
      <c r="O107">
        <v>435.6899999999996</v>
      </c>
      <c r="P107">
        <f t="shared" si="17"/>
        <v>817.33859999999993</v>
      </c>
    </row>
    <row r="108" spans="1:16" x14ac:dyDescent="0.35">
      <c r="A108" t="s">
        <v>166</v>
      </c>
      <c r="B108" s="3">
        <v>45121</v>
      </c>
      <c r="C108" t="s">
        <v>14</v>
      </c>
      <c r="D108" t="s">
        <v>15</v>
      </c>
      <c r="E108" t="s">
        <v>25</v>
      </c>
      <c r="F108" t="s">
        <v>26</v>
      </c>
      <c r="G108">
        <v>10</v>
      </c>
      <c r="H108">
        <v>475.2</v>
      </c>
      <c r="I108">
        <v>349.43</v>
      </c>
      <c r="J108">
        <v>10</v>
      </c>
      <c r="K108">
        <v>119</v>
      </c>
      <c r="L108" t="s">
        <v>4</v>
      </c>
      <c r="M108">
        <v>4752</v>
      </c>
      <c r="N108">
        <v>3494.3</v>
      </c>
      <c r="O108">
        <v>1257.6999999999998</v>
      </c>
      <c r="P108">
        <f t="shared" si="17"/>
        <v>855.36</v>
      </c>
    </row>
    <row r="109" spans="1:16" x14ac:dyDescent="0.35">
      <c r="A109" t="s">
        <v>167</v>
      </c>
      <c r="B109" s="3">
        <v>45149</v>
      </c>
      <c r="C109" t="s">
        <v>20</v>
      </c>
      <c r="D109" t="s">
        <v>129</v>
      </c>
      <c r="E109" t="s">
        <v>3</v>
      </c>
      <c r="F109" t="s">
        <v>3</v>
      </c>
      <c r="G109">
        <v>10</v>
      </c>
      <c r="H109">
        <v>58.87</v>
      </c>
      <c r="I109">
        <v>43.53</v>
      </c>
      <c r="J109">
        <v>10</v>
      </c>
      <c r="K109">
        <v>39</v>
      </c>
      <c r="L109" t="s">
        <v>38</v>
      </c>
      <c r="M109">
        <v>588.69999999999993</v>
      </c>
      <c r="N109">
        <v>435.3</v>
      </c>
      <c r="O109">
        <v>153.39999999999992</v>
      </c>
      <c r="P109">
        <f t="shared" si="17"/>
        <v>105.96599999999998</v>
      </c>
    </row>
    <row r="110" spans="1:16" x14ac:dyDescent="0.35">
      <c r="A110" t="s">
        <v>168</v>
      </c>
      <c r="B110" s="3">
        <v>45077</v>
      </c>
      <c r="C110" t="s">
        <v>64</v>
      </c>
      <c r="D110" t="s">
        <v>107</v>
      </c>
      <c r="E110" t="s">
        <v>59</v>
      </c>
      <c r="F110" t="s">
        <v>60</v>
      </c>
      <c r="G110">
        <v>3</v>
      </c>
      <c r="H110">
        <v>511.57</v>
      </c>
      <c r="I110">
        <v>350.06</v>
      </c>
      <c r="J110">
        <v>0</v>
      </c>
      <c r="K110">
        <v>51</v>
      </c>
      <c r="L110" t="s">
        <v>38</v>
      </c>
      <c r="M110">
        <v>1534.71</v>
      </c>
      <c r="N110">
        <v>1050.18</v>
      </c>
      <c r="O110">
        <v>484.53</v>
      </c>
      <c r="P110">
        <f t="shared" si="17"/>
        <v>276.24779999999998</v>
      </c>
    </row>
    <row r="111" spans="1:16" x14ac:dyDescent="0.35">
      <c r="A111" t="s">
        <v>169</v>
      </c>
      <c r="B111" s="3">
        <v>44967</v>
      </c>
      <c r="C111" t="s">
        <v>20</v>
      </c>
      <c r="D111" t="s">
        <v>21</v>
      </c>
      <c r="E111" t="s">
        <v>10</v>
      </c>
      <c r="F111" t="s">
        <v>11</v>
      </c>
      <c r="G111">
        <v>3</v>
      </c>
      <c r="H111">
        <v>164</v>
      </c>
      <c r="I111">
        <v>129.66</v>
      </c>
      <c r="J111">
        <v>5</v>
      </c>
      <c r="K111">
        <v>31</v>
      </c>
      <c r="L111" t="s">
        <v>12</v>
      </c>
      <c r="M111">
        <v>492</v>
      </c>
      <c r="N111">
        <v>388.98</v>
      </c>
      <c r="O111">
        <v>103.01999999999998</v>
      </c>
      <c r="P111">
        <f t="shared" si="17"/>
        <v>88.56</v>
      </c>
    </row>
    <row r="112" spans="1:16" x14ac:dyDescent="0.35">
      <c r="A112" t="s">
        <v>170</v>
      </c>
      <c r="B112" s="3">
        <v>45162</v>
      </c>
      <c r="C112" t="s">
        <v>6</v>
      </c>
      <c r="D112" t="s">
        <v>7</v>
      </c>
      <c r="E112" t="s">
        <v>36</v>
      </c>
      <c r="F112" t="s">
        <v>37</v>
      </c>
      <c r="G112">
        <v>8</v>
      </c>
      <c r="H112">
        <v>529.20000000000005</v>
      </c>
      <c r="I112">
        <v>457.29</v>
      </c>
      <c r="J112">
        <v>15</v>
      </c>
      <c r="K112">
        <v>91</v>
      </c>
      <c r="L112" t="s">
        <v>27</v>
      </c>
      <c r="M112">
        <v>4233.6000000000004</v>
      </c>
      <c r="N112">
        <v>3658.32</v>
      </c>
      <c r="O112">
        <v>575.2800000000002</v>
      </c>
      <c r="P112">
        <f t="shared" si="17"/>
        <v>762.048</v>
      </c>
    </row>
    <row r="113" spans="1:16" x14ac:dyDescent="0.35">
      <c r="A113" t="s">
        <v>171</v>
      </c>
      <c r="B113" s="3">
        <v>45080</v>
      </c>
      <c r="C113" t="s">
        <v>20</v>
      </c>
      <c r="D113" t="s">
        <v>154</v>
      </c>
      <c r="E113" t="s">
        <v>59</v>
      </c>
      <c r="F113" t="s">
        <v>60</v>
      </c>
      <c r="G113">
        <v>5</v>
      </c>
      <c r="H113">
        <v>397.85</v>
      </c>
      <c r="I113">
        <v>342.03</v>
      </c>
      <c r="J113">
        <v>15</v>
      </c>
      <c r="K113">
        <v>54</v>
      </c>
      <c r="L113" t="s">
        <v>4</v>
      </c>
      <c r="M113">
        <v>1989.25</v>
      </c>
      <c r="N113">
        <v>1710.1499999999999</v>
      </c>
      <c r="O113">
        <v>279.10000000000014</v>
      </c>
      <c r="P113">
        <f t="shared" si="17"/>
        <v>358.065</v>
      </c>
    </row>
    <row r="114" spans="1:16" x14ac:dyDescent="0.35">
      <c r="A114" t="s">
        <v>172</v>
      </c>
      <c r="B114" s="3">
        <v>44981</v>
      </c>
      <c r="C114" t="s">
        <v>1</v>
      </c>
      <c r="D114" t="s">
        <v>41</v>
      </c>
      <c r="E114" t="s">
        <v>16</v>
      </c>
      <c r="F114" t="s">
        <v>17</v>
      </c>
      <c r="G114">
        <v>8</v>
      </c>
      <c r="H114">
        <v>500.42</v>
      </c>
      <c r="I114">
        <v>424.2</v>
      </c>
      <c r="J114">
        <v>15</v>
      </c>
      <c r="K114">
        <v>119</v>
      </c>
      <c r="L114" t="s">
        <v>18</v>
      </c>
      <c r="M114">
        <v>4003.36</v>
      </c>
      <c r="N114">
        <v>3393.6</v>
      </c>
      <c r="O114">
        <v>609.76000000000022</v>
      </c>
      <c r="P114">
        <f t="shared" si="17"/>
        <v>720.60479999999995</v>
      </c>
    </row>
    <row r="115" spans="1:16" x14ac:dyDescent="0.35">
      <c r="A115" t="s">
        <v>173</v>
      </c>
      <c r="B115" s="3">
        <v>45067</v>
      </c>
      <c r="C115" t="s">
        <v>32</v>
      </c>
      <c r="D115" t="s">
        <v>50</v>
      </c>
      <c r="E115" t="s">
        <v>25</v>
      </c>
      <c r="F115" t="s">
        <v>26</v>
      </c>
      <c r="G115">
        <v>10</v>
      </c>
      <c r="H115">
        <v>213.83</v>
      </c>
      <c r="I115">
        <v>154.97999999999999</v>
      </c>
      <c r="J115">
        <v>0</v>
      </c>
      <c r="K115">
        <v>116</v>
      </c>
      <c r="L115" t="s">
        <v>18</v>
      </c>
      <c r="M115">
        <v>2138.3000000000002</v>
      </c>
      <c r="N115">
        <v>1549.8</v>
      </c>
      <c r="O115">
        <v>588.50000000000023</v>
      </c>
      <c r="P115">
        <f t="shared" si="17"/>
        <v>384.89400000000001</v>
      </c>
    </row>
    <row r="116" spans="1:16" x14ac:dyDescent="0.35">
      <c r="A116" t="s">
        <v>174</v>
      </c>
      <c r="B116" s="3">
        <v>45237</v>
      </c>
      <c r="C116" t="s">
        <v>64</v>
      </c>
      <c r="D116" t="s">
        <v>65</v>
      </c>
      <c r="E116" t="s">
        <v>3</v>
      </c>
      <c r="F116" t="s">
        <v>3</v>
      </c>
      <c r="G116">
        <v>10</v>
      </c>
      <c r="H116">
        <v>537.61</v>
      </c>
      <c r="I116">
        <v>375.13</v>
      </c>
      <c r="J116">
        <v>10</v>
      </c>
      <c r="K116">
        <v>109</v>
      </c>
      <c r="L116" t="s">
        <v>12</v>
      </c>
      <c r="M116">
        <v>5376.1</v>
      </c>
      <c r="N116">
        <v>3751.3</v>
      </c>
      <c r="O116">
        <v>1624.8000000000002</v>
      </c>
      <c r="P116">
        <f t="shared" si="17"/>
        <v>967.69799999999998</v>
      </c>
    </row>
    <row r="117" spans="1:16" x14ac:dyDescent="0.35">
      <c r="A117" t="s">
        <v>175</v>
      </c>
      <c r="B117" s="3">
        <v>45248</v>
      </c>
      <c r="C117" t="s">
        <v>23</v>
      </c>
      <c r="D117" t="s">
        <v>150</v>
      </c>
      <c r="E117" t="s">
        <v>36</v>
      </c>
      <c r="F117" t="s">
        <v>37</v>
      </c>
      <c r="G117">
        <v>4</v>
      </c>
      <c r="H117">
        <v>430.86</v>
      </c>
      <c r="I117">
        <v>314.24</v>
      </c>
      <c r="J117">
        <v>5</v>
      </c>
      <c r="K117">
        <v>90</v>
      </c>
      <c r="L117" t="s">
        <v>38</v>
      </c>
      <c r="M117">
        <v>1723.44</v>
      </c>
      <c r="N117">
        <v>1256.96</v>
      </c>
      <c r="O117">
        <v>466.48</v>
      </c>
      <c r="P117">
        <f t="shared" si="17"/>
        <v>310.2192</v>
      </c>
    </row>
    <row r="118" spans="1:16" x14ac:dyDescent="0.35">
      <c r="A118" t="s">
        <v>176</v>
      </c>
      <c r="B118" s="3">
        <v>45094</v>
      </c>
      <c r="C118" t="s">
        <v>1</v>
      </c>
      <c r="D118" t="s">
        <v>2</v>
      </c>
      <c r="E118" t="s">
        <v>16</v>
      </c>
      <c r="F118" t="s">
        <v>17</v>
      </c>
      <c r="G118">
        <v>8</v>
      </c>
      <c r="H118">
        <v>32.83</v>
      </c>
      <c r="I118">
        <v>26.35</v>
      </c>
      <c r="J118">
        <v>5</v>
      </c>
      <c r="K118">
        <v>21</v>
      </c>
      <c r="L118" t="s">
        <v>27</v>
      </c>
      <c r="M118">
        <v>262.64</v>
      </c>
      <c r="N118">
        <v>210.8</v>
      </c>
      <c r="O118">
        <v>51.839999999999975</v>
      </c>
      <c r="P118">
        <f t="shared" si="17"/>
        <v>47.275199999999998</v>
      </c>
    </row>
    <row r="119" spans="1:16" x14ac:dyDescent="0.35">
      <c r="A119" t="s">
        <v>177</v>
      </c>
      <c r="B119" s="3">
        <v>45066</v>
      </c>
      <c r="C119" t="s">
        <v>1</v>
      </c>
      <c r="D119" t="s">
        <v>41</v>
      </c>
      <c r="E119" t="s">
        <v>42</v>
      </c>
      <c r="F119" t="s">
        <v>43</v>
      </c>
      <c r="G119">
        <v>4</v>
      </c>
      <c r="H119">
        <v>98.37</v>
      </c>
      <c r="I119">
        <v>74.760000000000005</v>
      </c>
      <c r="J119">
        <v>10</v>
      </c>
      <c r="K119">
        <v>77</v>
      </c>
      <c r="L119" t="s">
        <v>4</v>
      </c>
      <c r="M119">
        <v>393.48</v>
      </c>
      <c r="N119">
        <v>299.04000000000002</v>
      </c>
      <c r="O119">
        <v>94.44</v>
      </c>
      <c r="P119">
        <f t="shared" si="17"/>
        <v>70.826400000000007</v>
      </c>
    </row>
    <row r="120" spans="1:16" x14ac:dyDescent="0.35">
      <c r="A120" t="s">
        <v>178</v>
      </c>
      <c r="B120" s="3">
        <v>45166</v>
      </c>
      <c r="C120" t="s">
        <v>23</v>
      </c>
      <c r="D120" t="s">
        <v>29</v>
      </c>
      <c r="E120" t="s">
        <v>16</v>
      </c>
      <c r="F120" t="s">
        <v>17</v>
      </c>
      <c r="G120">
        <v>8</v>
      </c>
      <c r="H120">
        <v>589.55999999999995</v>
      </c>
      <c r="I120">
        <v>484.02</v>
      </c>
      <c r="J120">
        <v>10</v>
      </c>
      <c r="K120">
        <v>112</v>
      </c>
      <c r="L120" t="s">
        <v>38</v>
      </c>
      <c r="M120">
        <v>4716.4799999999996</v>
      </c>
      <c r="N120">
        <v>3872.16</v>
      </c>
      <c r="O120">
        <v>844.31999999999971</v>
      </c>
      <c r="P120">
        <f t="shared" si="17"/>
        <v>848.96639999999991</v>
      </c>
    </row>
    <row r="121" spans="1:16" x14ac:dyDescent="0.35">
      <c r="A121" t="s">
        <v>179</v>
      </c>
      <c r="B121" s="3">
        <v>44934</v>
      </c>
      <c r="C121" t="s">
        <v>64</v>
      </c>
      <c r="D121" t="s">
        <v>77</v>
      </c>
      <c r="E121" t="s">
        <v>36</v>
      </c>
      <c r="F121" t="s">
        <v>37</v>
      </c>
      <c r="G121">
        <v>7</v>
      </c>
      <c r="H121">
        <v>688.11</v>
      </c>
      <c r="I121">
        <v>483.96</v>
      </c>
      <c r="J121">
        <v>10</v>
      </c>
      <c r="K121">
        <v>21</v>
      </c>
      <c r="L121" t="s">
        <v>18</v>
      </c>
      <c r="M121">
        <v>4816.7700000000004</v>
      </c>
      <c r="N121">
        <v>3387.72</v>
      </c>
      <c r="O121">
        <v>1429.0500000000006</v>
      </c>
      <c r="P121">
        <f t="shared" si="17"/>
        <v>867.01859999999999</v>
      </c>
    </row>
    <row r="122" spans="1:16" x14ac:dyDescent="0.35">
      <c r="A122" t="s">
        <v>180</v>
      </c>
      <c r="B122" s="3">
        <v>45253</v>
      </c>
      <c r="C122" t="s">
        <v>20</v>
      </c>
      <c r="D122" t="s">
        <v>35</v>
      </c>
      <c r="E122" t="s">
        <v>30</v>
      </c>
      <c r="F122" t="s">
        <v>11</v>
      </c>
      <c r="G122">
        <v>8</v>
      </c>
      <c r="H122">
        <v>266.77999999999997</v>
      </c>
      <c r="I122">
        <v>190.61</v>
      </c>
      <c r="J122">
        <v>10</v>
      </c>
      <c r="K122">
        <v>84</v>
      </c>
      <c r="L122" t="s">
        <v>18</v>
      </c>
      <c r="M122">
        <v>2134.2399999999998</v>
      </c>
      <c r="N122">
        <v>1524.88</v>
      </c>
      <c r="O122">
        <v>609.35999999999967</v>
      </c>
      <c r="P122">
        <f t="shared" si="17"/>
        <v>384.16319999999996</v>
      </c>
    </row>
    <row r="123" spans="1:16" x14ac:dyDescent="0.35">
      <c r="A123" t="s">
        <v>181</v>
      </c>
      <c r="B123" s="3">
        <v>45040</v>
      </c>
      <c r="C123" t="s">
        <v>20</v>
      </c>
      <c r="D123" t="s">
        <v>154</v>
      </c>
      <c r="E123" t="s">
        <v>36</v>
      </c>
      <c r="F123" t="s">
        <v>37</v>
      </c>
      <c r="G123">
        <v>8</v>
      </c>
      <c r="H123">
        <v>32.36</v>
      </c>
      <c r="I123">
        <v>22.26</v>
      </c>
      <c r="J123">
        <v>20</v>
      </c>
      <c r="K123">
        <v>51</v>
      </c>
      <c r="L123" t="s">
        <v>4</v>
      </c>
      <c r="M123">
        <v>258.88</v>
      </c>
      <c r="N123">
        <v>178.08</v>
      </c>
      <c r="O123">
        <v>80.799999999999983</v>
      </c>
      <c r="P123">
        <f t="shared" si="17"/>
        <v>46.598399999999998</v>
      </c>
    </row>
    <row r="124" spans="1:16" x14ac:dyDescent="0.35">
      <c r="A124" t="s">
        <v>182</v>
      </c>
      <c r="B124" s="3">
        <v>45179</v>
      </c>
      <c r="C124" t="s">
        <v>1</v>
      </c>
      <c r="D124" t="s">
        <v>2</v>
      </c>
      <c r="E124" t="s">
        <v>59</v>
      </c>
      <c r="F124" t="s">
        <v>60</v>
      </c>
      <c r="G124">
        <v>5</v>
      </c>
      <c r="H124">
        <v>376.26</v>
      </c>
      <c r="I124">
        <v>328.13</v>
      </c>
      <c r="J124">
        <v>0</v>
      </c>
      <c r="K124">
        <v>14</v>
      </c>
      <c r="L124" t="s">
        <v>27</v>
      </c>
      <c r="M124">
        <v>1881.3</v>
      </c>
      <c r="N124">
        <v>1640.65</v>
      </c>
      <c r="O124">
        <v>240.64999999999986</v>
      </c>
      <c r="P124">
        <f t="shared" si="17"/>
        <v>338.63399999999996</v>
      </c>
    </row>
    <row r="125" spans="1:16" x14ac:dyDescent="0.35">
      <c r="A125" t="s">
        <v>183</v>
      </c>
      <c r="B125" s="3">
        <v>45006</v>
      </c>
      <c r="C125" t="s">
        <v>64</v>
      </c>
      <c r="D125" t="s">
        <v>107</v>
      </c>
      <c r="E125" t="s">
        <v>36</v>
      </c>
      <c r="F125" t="s">
        <v>37</v>
      </c>
      <c r="G125">
        <v>9</v>
      </c>
      <c r="H125">
        <v>98.01</v>
      </c>
      <c r="I125">
        <v>76.48</v>
      </c>
      <c r="J125">
        <v>20</v>
      </c>
      <c r="K125">
        <v>63</v>
      </c>
      <c r="L125" t="s">
        <v>4</v>
      </c>
      <c r="M125">
        <v>882.09</v>
      </c>
      <c r="N125">
        <v>688.32</v>
      </c>
      <c r="O125">
        <v>193.76999999999998</v>
      </c>
      <c r="P125">
        <f t="shared" si="17"/>
        <v>158.77619999999999</v>
      </c>
    </row>
    <row r="126" spans="1:16" x14ac:dyDescent="0.35">
      <c r="A126" t="s">
        <v>184</v>
      </c>
      <c r="B126" s="3">
        <v>45038</v>
      </c>
      <c r="C126" t="s">
        <v>14</v>
      </c>
      <c r="D126" t="s">
        <v>54</v>
      </c>
      <c r="E126" t="s">
        <v>59</v>
      </c>
      <c r="F126" t="s">
        <v>60</v>
      </c>
      <c r="G126">
        <v>10</v>
      </c>
      <c r="H126">
        <v>310.89999999999998</v>
      </c>
      <c r="I126">
        <v>209.98</v>
      </c>
      <c r="J126">
        <v>0</v>
      </c>
      <c r="K126">
        <v>98</v>
      </c>
      <c r="L126" t="s">
        <v>27</v>
      </c>
      <c r="M126">
        <v>3109</v>
      </c>
      <c r="N126">
        <v>2099.7999999999997</v>
      </c>
      <c r="O126">
        <v>1009.2000000000003</v>
      </c>
      <c r="P126">
        <f t="shared" si="17"/>
        <v>559.62</v>
      </c>
    </row>
    <row r="127" spans="1:16" x14ac:dyDescent="0.35">
      <c r="A127" t="s">
        <v>185</v>
      </c>
      <c r="B127" s="3">
        <v>44958</v>
      </c>
      <c r="C127" t="s">
        <v>14</v>
      </c>
      <c r="D127" t="s">
        <v>104</v>
      </c>
      <c r="E127" t="s">
        <v>36</v>
      </c>
      <c r="F127" t="s">
        <v>37</v>
      </c>
      <c r="G127">
        <v>6</v>
      </c>
      <c r="H127">
        <v>80.64</v>
      </c>
      <c r="I127">
        <v>58.68</v>
      </c>
      <c r="J127">
        <v>20</v>
      </c>
      <c r="K127">
        <v>92</v>
      </c>
      <c r="L127" t="s">
        <v>27</v>
      </c>
      <c r="M127">
        <v>483.84000000000003</v>
      </c>
      <c r="N127">
        <v>352.08</v>
      </c>
      <c r="O127">
        <v>131.76000000000005</v>
      </c>
      <c r="P127">
        <f t="shared" si="17"/>
        <v>87.091200000000001</v>
      </c>
    </row>
    <row r="128" spans="1:16" x14ac:dyDescent="0.35">
      <c r="A128" t="s">
        <v>186</v>
      </c>
      <c r="B128" s="3">
        <v>45255</v>
      </c>
      <c r="C128" t="s">
        <v>14</v>
      </c>
      <c r="D128" t="s">
        <v>15</v>
      </c>
      <c r="E128" t="s">
        <v>36</v>
      </c>
      <c r="F128" t="s">
        <v>37</v>
      </c>
      <c r="G128">
        <v>2</v>
      </c>
      <c r="H128">
        <v>679.12</v>
      </c>
      <c r="I128">
        <v>475.02</v>
      </c>
      <c r="J128">
        <v>0</v>
      </c>
      <c r="K128">
        <v>94</v>
      </c>
      <c r="L128" t="s">
        <v>12</v>
      </c>
      <c r="M128">
        <v>1358.24</v>
      </c>
      <c r="N128">
        <v>950.04</v>
      </c>
      <c r="O128">
        <v>408.20000000000005</v>
      </c>
      <c r="P128">
        <f t="shared" si="17"/>
        <v>244.48319999999998</v>
      </c>
    </row>
    <row r="129" spans="1:16" x14ac:dyDescent="0.35">
      <c r="A129" t="s">
        <v>187</v>
      </c>
      <c r="B129" s="3">
        <v>45032</v>
      </c>
      <c r="C129" t="s">
        <v>1</v>
      </c>
      <c r="D129" t="s">
        <v>9</v>
      </c>
      <c r="E129" t="s">
        <v>3</v>
      </c>
      <c r="F129" t="s">
        <v>3</v>
      </c>
      <c r="G129">
        <v>1</v>
      </c>
      <c r="H129">
        <v>473.62</v>
      </c>
      <c r="I129">
        <v>395.53</v>
      </c>
      <c r="J129">
        <v>5</v>
      </c>
      <c r="K129">
        <v>110</v>
      </c>
      <c r="L129" t="s">
        <v>4</v>
      </c>
      <c r="M129">
        <v>473.62</v>
      </c>
      <c r="N129">
        <v>395.53</v>
      </c>
      <c r="O129">
        <v>78.090000000000032</v>
      </c>
      <c r="P129">
        <f t="shared" si="17"/>
        <v>85.251599999999996</v>
      </c>
    </row>
    <row r="130" spans="1:16" x14ac:dyDescent="0.35">
      <c r="A130" t="s">
        <v>188</v>
      </c>
      <c r="B130" s="3">
        <v>45232</v>
      </c>
      <c r="C130" t="s">
        <v>64</v>
      </c>
      <c r="D130" t="s">
        <v>65</v>
      </c>
      <c r="E130" t="s">
        <v>36</v>
      </c>
      <c r="F130" t="s">
        <v>37</v>
      </c>
      <c r="G130">
        <v>10</v>
      </c>
      <c r="H130">
        <v>167.69</v>
      </c>
      <c r="I130">
        <v>115.82</v>
      </c>
      <c r="J130">
        <v>10</v>
      </c>
      <c r="K130">
        <v>109</v>
      </c>
      <c r="L130" t="s">
        <v>12</v>
      </c>
      <c r="M130">
        <v>1676.9</v>
      </c>
      <c r="N130">
        <v>1158.1999999999998</v>
      </c>
      <c r="O130">
        <v>518.70000000000027</v>
      </c>
      <c r="P130">
        <f t="shared" ref="P130:P161" si="18">M130*$Q$2</f>
        <v>301.84199999999998</v>
      </c>
    </row>
    <row r="131" spans="1:16" x14ac:dyDescent="0.35">
      <c r="A131" t="s">
        <v>189</v>
      </c>
      <c r="B131" s="3">
        <v>44994</v>
      </c>
      <c r="C131" t="s">
        <v>64</v>
      </c>
      <c r="D131" t="s">
        <v>89</v>
      </c>
      <c r="E131" t="s">
        <v>42</v>
      </c>
      <c r="F131" t="s">
        <v>43</v>
      </c>
      <c r="G131">
        <v>3</v>
      </c>
      <c r="H131">
        <v>389.92</v>
      </c>
      <c r="I131">
        <v>274.70999999999998</v>
      </c>
      <c r="J131">
        <v>0</v>
      </c>
      <c r="K131">
        <v>94</v>
      </c>
      <c r="L131" t="s">
        <v>38</v>
      </c>
      <c r="M131">
        <v>1169.76</v>
      </c>
      <c r="N131">
        <v>824.12999999999988</v>
      </c>
      <c r="O131">
        <v>345.63000000000011</v>
      </c>
      <c r="P131">
        <f t="shared" si="18"/>
        <v>210.55679999999998</v>
      </c>
    </row>
    <row r="132" spans="1:16" x14ac:dyDescent="0.35">
      <c r="A132" t="s">
        <v>190</v>
      </c>
      <c r="B132" s="3">
        <v>45196</v>
      </c>
      <c r="C132" t="s">
        <v>64</v>
      </c>
      <c r="D132" t="s">
        <v>89</v>
      </c>
      <c r="E132" t="s">
        <v>36</v>
      </c>
      <c r="F132" t="s">
        <v>37</v>
      </c>
      <c r="G132">
        <v>10</v>
      </c>
      <c r="H132">
        <v>197.27</v>
      </c>
      <c r="I132">
        <v>168.65</v>
      </c>
      <c r="J132">
        <v>0</v>
      </c>
      <c r="K132">
        <v>26</v>
      </c>
      <c r="L132" t="s">
        <v>18</v>
      </c>
      <c r="M132">
        <v>1972.7</v>
      </c>
      <c r="N132">
        <v>1686.5</v>
      </c>
      <c r="O132">
        <v>286.20000000000005</v>
      </c>
      <c r="P132">
        <f t="shared" si="18"/>
        <v>355.08600000000001</v>
      </c>
    </row>
    <row r="133" spans="1:16" x14ac:dyDescent="0.35">
      <c r="A133" t="s">
        <v>191</v>
      </c>
      <c r="B133" s="3">
        <v>45040</v>
      </c>
      <c r="C133" t="s">
        <v>64</v>
      </c>
      <c r="D133" t="s">
        <v>107</v>
      </c>
      <c r="E133" t="s">
        <v>59</v>
      </c>
      <c r="F133" t="s">
        <v>60</v>
      </c>
      <c r="G133">
        <v>8</v>
      </c>
      <c r="H133">
        <v>510.67</v>
      </c>
      <c r="I133">
        <v>391.23</v>
      </c>
      <c r="J133">
        <v>0</v>
      </c>
      <c r="K133">
        <v>67</v>
      </c>
      <c r="L133" t="s">
        <v>4</v>
      </c>
      <c r="M133">
        <v>4085.36</v>
      </c>
      <c r="N133">
        <v>3129.84</v>
      </c>
      <c r="O133">
        <v>955.52</v>
      </c>
      <c r="P133">
        <f t="shared" si="18"/>
        <v>735.36479999999995</v>
      </c>
    </row>
    <row r="134" spans="1:16" x14ac:dyDescent="0.35">
      <c r="A134" t="s">
        <v>192</v>
      </c>
      <c r="B134" s="3">
        <v>45145</v>
      </c>
      <c r="C134" t="s">
        <v>6</v>
      </c>
      <c r="D134" t="s">
        <v>56</v>
      </c>
      <c r="E134" t="s">
        <v>16</v>
      </c>
      <c r="F134" t="s">
        <v>17</v>
      </c>
      <c r="G134">
        <v>8</v>
      </c>
      <c r="H134">
        <v>361.82</v>
      </c>
      <c r="I134">
        <v>325.24</v>
      </c>
      <c r="J134">
        <v>15</v>
      </c>
      <c r="K134">
        <v>118</v>
      </c>
      <c r="L134" t="s">
        <v>18</v>
      </c>
      <c r="M134">
        <v>2894.56</v>
      </c>
      <c r="N134">
        <v>2601.92</v>
      </c>
      <c r="O134">
        <v>292.63999999999987</v>
      </c>
      <c r="P134">
        <f t="shared" si="18"/>
        <v>521.02080000000001</v>
      </c>
    </row>
    <row r="135" spans="1:16" x14ac:dyDescent="0.35">
      <c r="A135" t="s">
        <v>193</v>
      </c>
      <c r="B135" s="3">
        <v>44991</v>
      </c>
      <c r="C135" t="s">
        <v>1</v>
      </c>
      <c r="D135" t="s">
        <v>2</v>
      </c>
      <c r="E135" t="s">
        <v>59</v>
      </c>
      <c r="F135" t="s">
        <v>60</v>
      </c>
      <c r="G135">
        <v>8</v>
      </c>
      <c r="H135">
        <v>52.1</v>
      </c>
      <c r="I135">
        <v>46.01</v>
      </c>
      <c r="J135">
        <v>20</v>
      </c>
      <c r="K135">
        <v>28</v>
      </c>
      <c r="L135" t="s">
        <v>38</v>
      </c>
      <c r="M135">
        <v>416.8</v>
      </c>
      <c r="N135">
        <v>368.08</v>
      </c>
      <c r="O135">
        <v>48.720000000000027</v>
      </c>
      <c r="P135">
        <f t="shared" si="18"/>
        <v>75.024000000000001</v>
      </c>
    </row>
    <row r="136" spans="1:16" x14ac:dyDescent="0.35">
      <c r="A136" t="s">
        <v>194</v>
      </c>
      <c r="B136" s="3">
        <v>45147</v>
      </c>
      <c r="C136" t="s">
        <v>20</v>
      </c>
      <c r="D136" t="s">
        <v>35</v>
      </c>
      <c r="E136" t="s">
        <v>25</v>
      </c>
      <c r="F136" t="s">
        <v>26</v>
      </c>
      <c r="G136">
        <v>7</v>
      </c>
      <c r="H136">
        <v>652.66</v>
      </c>
      <c r="I136">
        <v>497.37</v>
      </c>
      <c r="J136">
        <v>15</v>
      </c>
      <c r="K136">
        <v>74</v>
      </c>
      <c r="L136" t="s">
        <v>4</v>
      </c>
      <c r="M136">
        <v>4568.62</v>
      </c>
      <c r="N136">
        <v>3481.59</v>
      </c>
      <c r="O136">
        <v>1087.0299999999997</v>
      </c>
      <c r="P136">
        <f t="shared" si="18"/>
        <v>822.35159999999996</v>
      </c>
    </row>
    <row r="137" spans="1:16" x14ac:dyDescent="0.35">
      <c r="A137" t="s">
        <v>195</v>
      </c>
      <c r="B137" s="3">
        <v>45131</v>
      </c>
      <c r="C137" t="s">
        <v>64</v>
      </c>
      <c r="D137" t="s">
        <v>107</v>
      </c>
      <c r="E137" t="s">
        <v>36</v>
      </c>
      <c r="F137" t="s">
        <v>37</v>
      </c>
      <c r="G137">
        <v>7</v>
      </c>
      <c r="H137">
        <v>275.52</v>
      </c>
      <c r="I137">
        <v>231.26</v>
      </c>
      <c r="J137">
        <v>10</v>
      </c>
      <c r="K137">
        <v>115</v>
      </c>
      <c r="L137" t="s">
        <v>18</v>
      </c>
      <c r="M137">
        <v>1928.6399999999999</v>
      </c>
      <c r="N137">
        <v>1618.82</v>
      </c>
      <c r="O137">
        <v>309.81999999999994</v>
      </c>
      <c r="P137">
        <f t="shared" si="18"/>
        <v>347.15519999999998</v>
      </c>
    </row>
    <row r="138" spans="1:16" x14ac:dyDescent="0.35">
      <c r="A138" t="s">
        <v>196</v>
      </c>
      <c r="B138" s="3">
        <v>44961</v>
      </c>
      <c r="C138" t="s">
        <v>14</v>
      </c>
      <c r="D138" t="s">
        <v>54</v>
      </c>
      <c r="E138" t="s">
        <v>25</v>
      </c>
      <c r="F138" t="s">
        <v>26</v>
      </c>
      <c r="G138">
        <v>7</v>
      </c>
      <c r="H138">
        <v>196.09</v>
      </c>
      <c r="I138">
        <v>163.13999999999999</v>
      </c>
      <c r="J138">
        <v>5</v>
      </c>
      <c r="K138">
        <v>97</v>
      </c>
      <c r="L138" t="s">
        <v>18</v>
      </c>
      <c r="M138">
        <v>1372.63</v>
      </c>
      <c r="N138">
        <v>1141.98</v>
      </c>
      <c r="O138">
        <v>230.65000000000009</v>
      </c>
      <c r="P138">
        <f t="shared" si="18"/>
        <v>247.07340000000002</v>
      </c>
    </row>
    <row r="139" spans="1:16" x14ac:dyDescent="0.35">
      <c r="A139" t="s">
        <v>197</v>
      </c>
      <c r="B139" s="3">
        <v>45227</v>
      </c>
      <c r="C139" t="s">
        <v>64</v>
      </c>
      <c r="D139" t="s">
        <v>107</v>
      </c>
      <c r="E139" t="s">
        <v>30</v>
      </c>
      <c r="F139" t="s">
        <v>11</v>
      </c>
      <c r="G139">
        <v>7</v>
      </c>
      <c r="H139">
        <v>79.989999999999995</v>
      </c>
      <c r="I139">
        <v>57.32</v>
      </c>
      <c r="J139">
        <v>5</v>
      </c>
      <c r="K139">
        <v>81</v>
      </c>
      <c r="L139" t="s">
        <v>38</v>
      </c>
      <c r="M139">
        <v>559.92999999999995</v>
      </c>
      <c r="N139">
        <v>401.24</v>
      </c>
      <c r="O139">
        <v>158.68999999999994</v>
      </c>
      <c r="P139">
        <f t="shared" si="18"/>
        <v>100.78739999999999</v>
      </c>
    </row>
    <row r="140" spans="1:16" x14ac:dyDescent="0.35">
      <c r="A140" t="s">
        <v>198</v>
      </c>
      <c r="B140" s="3">
        <v>45074</v>
      </c>
      <c r="C140" t="s">
        <v>6</v>
      </c>
      <c r="D140" t="s">
        <v>52</v>
      </c>
      <c r="E140" t="s">
        <v>25</v>
      </c>
      <c r="F140" t="s">
        <v>26</v>
      </c>
      <c r="G140">
        <v>2</v>
      </c>
      <c r="H140">
        <v>306.27</v>
      </c>
      <c r="I140">
        <v>211.3</v>
      </c>
      <c r="J140">
        <v>15</v>
      </c>
      <c r="K140">
        <v>102</v>
      </c>
      <c r="L140" t="s">
        <v>38</v>
      </c>
      <c r="M140">
        <v>612.54</v>
      </c>
      <c r="N140">
        <v>422.6</v>
      </c>
      <c r="O140">
        <v>189.93999999999994</v>
      </c>
      <c r="P140">
        <f t="shared" si="18"/>
        <v>110.25719999999998</v>
      </c>
    </row>
    <row r="141" spans="1:16" x14ac:dyDescent="0.35">
      <c r="A141" t="s">
        <v>199</v>
      </c>
      <c r="B141" s="3">
        <v>45106</v>
      </c>
      <c r="C141" t="s">
        <v>6</v>
      </c>
      <c r="D141" t="s">
        <v>200</v>
      </c>
      <c r="E141" t="s">
        <v>25</v>
      </c>
      <c r="F141" t="s">
        <v>26</v>
      </c>
      <c r="G141">
        <v>2</v>
      </c>
      <c r="H141">
        <v>347.45</v>
      </c>
      <c r="I141">
        <v>293.18</v>
      </c>
      <c r="J141">
        <v>15</v>
      </c>
      <c r="K141">
        <v>38</v>
      </c>
      <c r="L141" t="s">
        <v>38</v>
      </c>
      <c r="M141">
        <v>694.9</v>
      </c>
      <c r="N141">
        <v>586.36</v>
      </c>
      <c r="O141">
        <v>108.53999999999996</v>
      </c>
      <c r="P141">
        <f t="shared" si="18"/>
        <v>125.08199999999999</v>
      </c>
    </row>
    <row r="142" spans="1:16" x14ac:dyDescent="0.35">
      <c r="A142" t="s">
        <v>201</v>
      </c>
      <c r="B142" s="3">
        <v>45245</v>
      </c>
      <c r="C142" t="s">
        <v>23</v>
      </c>
      <c r="D142" t="s">
        <v>24</v>
      </c>
      <c r="E142" t="s">
        <v>25</v>
      </c>
      <c r="F142" t="s">
        <v>26</v>
      </c>
      <c r="G142">
        <v>2</v>
      </c>
      <c r="H142">
        <v>510.16</v>
      </c>
      <c r="I142">
        <v>383.68</v>
      </c>
      <c r="J142">
        <v>15</v>
      </c>
      <c r="K142">
        <v>118</v>
      </c>
      <c r="L142" t="s">
        <v>4</v>
      </c>
      <c r="M142">
        <v>1020.32</v>
      </c>
      <c r="N142">
        <v>767.36</v>
      </c>
      <c r="O142">
        <v>252.96000000000004</v>
      </c>
      <c r="P142">
        <f t="shared" si="18"/>
        <v>183.6576</v>
      </c>
    </row>
    <row r="143" spans="1:16" x14ac:dyDescent="0.35">
      <c r="A143" t="s">
        <v>202</v>
      </c>
      <c r="B143" s="3">
        <v>45066</v>
      </c>
      <c r="C143" t="s">
        <v>6</v>
      </c>
      <c r="D143" t="s">
        <v>52</v>
      </c>
      <c r="E143" t="s">
        <v>3</v>
      </c>
      <c r="F143" t="s">
        <v>3</v>
      </c>
      <c r="G143">
        <v>10</v>
      </c>
      <c r="H143">
        <v>666.14</v>
      </c>
      <c r="I143">
        <v>465.25</v>
      </c>
      <c r="J143">
        <v>10</v>
      </c>
      <c r="K143">
        <v>13</v>
      </c>
      <c r="L143" t="s">
        <v>12</v>
      </c>
      <c r="M143">
        <v>6661.4</v>
      </c>
      <c r="N143">
        <v>4652.5</v>
      </c>
      <c r="O143">
        <v>2008.8999999999996</v>
      </c>
      <c r="P143">
        <f t="shared" si="18"/>
        <v>1199.0519999999999</v>
      </c>
    </row>
    <row r="144" spans="1:16" x14ac:dyDescent="0.35">
      <c r="A144" t="s">
        <v>203</v>
      </c>
      <c r="B144" s="3">
        <v>44962</v>
      </c>
      <c r="C144" t="s">
        <v>1</v>
      </c>
      <c r="D144" t="s">
        <v>75</v>
      </c>
      <c r="E144" t="s">
        <v>25</v>
      </c>
      <c r="F144" t="s">
        <v>26</v>
      </c>
      <c r="G144">
        <v>6</v>
      </c>
      <c r="H144">
        <v>18.809999999999999</v>
      </c>
      <c r="I144">
        <v>12.99</v>
      </c>
      <c r="J144">
        <v>20</v>
      </c>
      <c r="K144">
        <v>94</v>
      </c>
      <c r="L144" t="s">
        <v>18</v>
      </c>
      <c r="M144">
        <v>112.85999999999999</v>
      </c>
      <c r="N144">
        <v>77.94</v>
      </c>
      <c r="O144">
        <v>34.919999999999987</v>
      </c>
      <c r="P144">
        <f t="shared" si="18"/>
        <v>20.314799999999998</v>
      </c>
    </row>
    <row r="145" spans="1:16" x14ac:dyDescent="0.35">
      <c r="A145" t="s">
        <v>204</v>
      </c>
      <c r="B145" s="3">
        <v>45086</v>
      </c>
      <c r="C145" t="s">
        <v>32</v>
      </c>
      <c r="D145" t="s">
        <v>91</v>
      </c>
      <c r="E145" t="s">
        <v>30</v>
      </c>
      <c r="F145" t="s">
        <v>11</v>
      </c>
      <c r="G145">
        <v>9</v>
      </c>
      <c r="H145">
        <v>146.34</v>
      </c>
      <c r="I145">
        <v>115.42</v>
      </c>
      <c r="J145">
        <v>10</v>
      </c>
      <c r="K145">
        <v>30</v>
      </c>
      <c r="L145" t="s">
        <v>27</v>
      </c>
      <c r="M145">
        <v>1317.06</v>
      </c>
      <c r="N145">
        <v>1038.78</v>
      </c>
      <c r="O145">
        <v>278.27999999999997</v>
      </c>
      <c r="P145">
        <f t="shared" si="18"/>
        <v>237.07079999999999</v>
      </c>
    </row>
    <row r="146" spans="1:16" x14ac:dyDescent="0.35">
      <c r="A146" t="s">
        <v>205</v>
      </c>
      <c r="B146" s="3">
        <v>45066</v>
      </c>
      <c r="C146" t="s">
        <v>1</v>
      </c>
      <c r="D146" t="s">
        <v>75</v>
      </c>
      <c r="E146" t="s">
        <v>30</v>
      </c>
      <c r="F146" t="s">
        <v>11</v>
      </c>
      <c r="G146">
        <v>1</v>
      </c>
      <c r="H146">
        <v>120.88</v>
      </c>
      <c r="I146">
        <v>86.23</v>
      </c>
      <c r="J146">
        <v>0</v>
      </c>
      <c r="K146">
        <v>96</v>
      </c>
      <c r="L146" t="s">
        <v>38</v>
      </c>
      <c r="M146">
        <v>120.88</v>
      </c>
      <c r="N146">
        <v>86.23</v>
      </c>
      <c r="O146">
        <v>34.649999999999991</v>
      </c>
      <c r="P146">
        <f t="shared" si="18"/>
        <v>21.758399999999998</v>
      </c>
    </row>
    <row r="147" spans="1:16" x14ac:dyDescent="0.35">
      <c r="A147" t="s">
        <v>206</v>
      </c>
      <c r="B147" s="3">
        <v>45147</v>
      </c>
      <c r="C147" t="s">
        <v>14</v>
      </c>
      <c r="D147" t="s">
        <v>104</v>
      </c>
      <c r="E147" t="s">
        <v>59</v>
      </c>
      <c r="F147" t="s">
        <v>60</v>
      </c>
      <c r="G147">
        <v>10</v>
      </c>
      <c r="H147">
        <v>274.02</v>
      </c>
      <c r="I147">
        <v>226.6</v>
      </c>
      <c r="J147">
        <v>20</v>
      </c>
      <c r="K147">
        <v>24</v>
      </c>
      <c r="L147" t="s">
        <v>27</v>
      </c>
      <c r="M147">
        <v>2740.2</v>
      </c>
      <c r="N147">
        <v>2266</v>
      </c>
      <c r="O147">
        <v>474.19999999999982</v>
      </c>
      <c r="P147">
        <f t="shared" si="18"/>
        <v>493.23599999999993</v>
      </c>
    </row>
    <row r="148" spans="1:16" x14ac:dyDescent="0.35">
      <c r="A148" t="s">
        <v>207</v>
      </c>
      <c r="B148" s="3">
        <v>44930</v>
      </c>
      <c r="C148" t="s">
        <v>64</v>
      </c>
      <c r="D148" t="s">
        <v>89</v>
      </c>
      <c r="E148" t="s">
        <v>59</v>
      </c>
      <c r="F148" t="s">
        <v>60</v>
      </c>
      <c r="G148">
        <v>9</v>
      </c>
      <c r="H148">
        <v>376.7</v>
      </c>
      <c r="I148">
        <v>336.89</v>
      </c>
      <c r="J148">
        <v>15</v>
      </c>
      <c r="K148">
        <v>86</v>
      </c>
      <c r="L148" t="s">
        <v>38</v>
      </c>
      <c r="M148">
        <v>3390.2999999999997</v>
      </c>
      <c r="N148">
        <v>3032.0099999999998</v>
      </c>
      <c r="O148">
        <v>358.28999999999996</v>
      </c>
      <c r="P148">
        <f t="shared" si="18"/>
        <v>610.25399999999991</v>
      </c>
    </row>
    <row r="149" spans="1:16" x14ac:dyDescent="0.35">
      <c r="A149" t="s">
        <v>208</v>
      </c>
      <c r="B149" s="3">
        <v>45147</v>
      </c>
      <c r="C149" t="s">
        <v>32</v>
      </c>
      <c r="D149" t="s">
        <v>33</v>
      </c>
      <c r="E149" t="s">
        <v>36</v>
      </c>
      <c r="F149" t="s">
        <v>37</v>
      </c>
      <c r="G149">
        <v>3</v>
      </c>
      <c r="H149">
        <v>467.39</v>
      </c>
      <c r="I149">
        <v>384.44</v>
      </c>
      <c r="J149">
        <v>0</v>
      </c>
      <c r="K149">
        <v>10</v>
      </c>
      <c r="L149" t="s">
        <v>18</v>
      </c>
      <c r="M149">
        <v>1402.17</v>
      </c>
      <c r="N149">
        <v>1153.32</v>
      </c>
      <c r="O149">
        <v>248.85000000000014</v>
      </c>
      <c r="P149">
        <f t="shared" si="18"/>
        <v>252.39060000000001</v>
      </c>
    </row>
    <row r="150" spans="1:16" x14ac:dyDescent="0.35">
      <c r="A150" t="s">
        <v>209</v>
      </c>
      <c r="B150" s="3">
        <v>44948</v>
      </c>
      <c r="C150" t="s">
        <v>32</v>
      </c>
      <c r="D150" t="s">
        <v>46</v>
      </c>
      <c r="E150" t="s">
        <v>10</v>
      </c>
      <c r="F150" t="s">
        <v>11</v>
      </c>
      <c r="G150">
        <v>9</v>
      </c>
      <c r="H150">
        <v>461.28</v>
      </c>
      <c r="I150">
        <v>354.8</v>
      </c>
      <c r="J150">
        <v>10</v>
      </c>
      <c r="K150">
        <v>19</v>
      </c>
      <c r="L150" t="s">
        <v>18</v>
      </c>
      <c r="M150">
        <v>4151.5199999999995</v>
      </c>
      <c r="N150">
        <v>3193.2000000000003</v>
      </c>
      <c r="O150">
        <v>958.31999999999925</v>
      </c>
      <c r="P150">
        <f t="shared" si="18"/>
        <v>747.27359999999987</v>
      </c>
    </row>
    <row r="151" spans="1:16" x14ac:dyDescent="0.35">
      <c r="A151" t="s">
        <v>210</v>
      </c>
      <c r="B151" s="3">
        <v>45075</v>
      </c>
      <c r="C151" t="s">
        <v>14</v>
      </c>
      <c r="D151" t="s">
        <v>54</v>
      </c>
      <c r="E151" t="s">
        <v>59</v>
      </c>
      <c r="F151" t="s">
        <v>60</v>
      </c>
      <c r="G151">
        <v>2</v>
      </c>
      <c r="H151">
        <v>575.26</v>
      </c>
      <c r="I151">
        <v>432.43</v>
      </c>
      <c r="J151">
        <v>20</v>
      </c>
      <c r="K151">
        <v>61</v>
      </c>
      <c r="L151" t="s">
        <v>18</v>
      </c>
      <c r="M151">
        <v>1150.52</v>
      </c>
      <c r="N151">
        <v>864.86</v>
      </c>
      <c r="O151">
        <v>285.65999999999997</v>
      </c>
      <c r="P151">
        <f t="shared" si="18"/>
        <v>207.09359999999998</v>
      </c>
    </row>
    <row r="152" spans="1:16" x14ac:dyDescent="0.35">
      <c r="A152" t="s">
        <v>211</v>
      </c>
      <c r="B152" s="3">
        <v>44972</v>
      </c>
      <c r="C152" t="s">
        <v>64</v>
      </c>
      <c r="D152" t="s">
        <v>81</v>
      </c>
      <c r="E152" t="s">
        <v>3</v>
      </c>
      <c r="F152" t="s">
        <v>3</v>
      </c>
      <c r="G152">
        <v>6</v>
      </c>
      <c r="H152">
        <v>139.36000000000001</v>
      </c>
      <c r="I152">
        <v>94.22</v>
      </c>
      <c r="J152">
        <v>15</v>
      </c>
      <c r="K152">
        <v>116</v>
      </c>
      <c r="L152" t="s">
        <v>27</v>
      </c>
      <c r="M152">
        <v>836.16000000000008</v>
      </c>
      <c r="N152">
        <v>565.31999999999994</v>
      </c>
      <c r="O152">
        <v>270.84000000000015</v>
      </c>
      <c r="P152">
        <f t="shared" si="18"/>
        <v>150.50880000000001</v>
      </c>
    </row>
    <row r="153" spans="1:16" x14ac:dyDescent="0.35">
      <c r="A153" t="s">
        <v>212</v>
      </c>
      <c r="B153" s="3">
        <v>45040</v>
      </c>
      <c r="C153" t="s">
        <v>14</v>
      </c>
      <c r="D153" t="s">
        <v>54</v>
      </c>
      <c r="E153" t="s">
        <v>36</v>
      </c>
      <c r="F153" t="s">
        <v>37</v>
      </c>
      <c r="G153">
        <v>7</v>
      </c>
      <c r="H153">
        <v>390.98</v>
      </c>
      <c r="I153">
        <v>298.55</v>
      </c>
      <c r="J153">
        <v>15</v>
      </c>
      <c r="K153">
        <v>49</v>
      </c>
      <c r="L153" t="s">
        <v>27</v>
      </c>
      <c r="M153">
        <v>2736.86</v>
      </c>
      <c r="N153">
        <v>2089.85</v>
      </c>
      <c r="O153">
        <v>647.01000000000022</v>
      </c>
      <c r="P153">
        <f t="shared" si="18"/>
        <v>492.63479999999998</v>
      </c>
    </row>
    <row r="154" spans="1:16" x14ac:dyDescent="0.35">
      <c r="A154" t="s">
        <v>213</v>
      </c>
      <c r="B154" s="3">
        <v>45106</v>
      </c>
      <c r="C154" t="s">
        <v>20</v>
      </c>
      <c r="D154" t="s">
        <v>87</v>
      </c>
      <c r="E154" t="s">
        <v>30</v>
      </c>
      <c r="F154" t="s">
        <v>11</v>
      </c>
      <c r="G154">
        <v>9</v>
      </c>
      <c r="H154">
        <v>420.28</v>
      </c>
      <c r="I154">
        <v>320.27999999999997</v>
      </c>
      <c r="J154">
        <v>5</v>
      </c>
      <c r="K154">
        <v>109</v>
      </c>
      <c r="L154" t="s">
        <v>27</v>
      </c>
      <c r="M154">
        <v>3782.5199999999995</v>
      </c>
      <c r="N154">
        <v>2882.5199999999995</v>
      </c>
      <c r="O154">
        <v>900</v>
      </c>
      <c r="P154">
        <f t="shared" si="18"/>
        <v>680.85359999999991</v>
      </c>
    </row>
    <row r="155" spans="1:16" x14ac:dyDescent="0.35">
      <c r="A155" t="s">
        <v>214</v>
      </c>
      <c r="B155" s="3">
        <v>45017</v>
      </c>
      <c r="C155" t="s">
        <v>1</v>
      </c>
      <c r="D155" t="s">
        <v>99</v>
      </c>
      <c r="E155" t="s">
        <v>36</v>
      </c>
      <c r="F155" t="s">
        <v>37</v>
      </c>
      <c r="G155">
        <v>2</v>
      </c>
      <c r="H155">
        <v>96.39</v>
      </c>
      <c r="I155">
        <v>81.760000000000005</v>
      </c>
      <c r="J155">
        <v>20</v>
      </c>
      <c r="K155">
        <v>29</v>
      </c>
      <c r="L155" t="s">
        <v>38</v>
      </c>
      <c r="M155">
        <v>192.78</v>
      </c>
      <c r="N155">
        <v>163.52000000000001</v>
      </c>
      <c r="O155">
        <v>29.259999999999991</v>
      </c>
      <c r="P155">
        <f t="shared" si="18"/>
        <v>34.700400000000002</v>
      </c>
    </row>
    <row r="156" spans="1:16" x14ac:dyDescent="0.35">
      <c r="A156" t="s">
        <v>215</v>
      </c>
      <c r="B156" s="3">
        <v>45092</v>
      </c>
      <c r="C156" t="s">
        <v>23</v>
      </c>
      <c r="D156" t="s">
        <v>141</v>
      </c>
      <c r="E156" t="s">
        <v>59</v>
      </c>
      <c r="F156" t="s">
        <v>60</v>
      </c>
      <c r="G156">
        <v>10</v>
      </c>
      <c r="H156">
        <v>489.23</v>
      </c>
      <c r="I156">
        <v>382.34</v>
      </c>
      <c r="J156">
        <v>20</v>
      </c>
      <c r="K156">
        <v>92</v>
      </c>
      <c r="L156" t="s">
        <v>4</v>
      </c>
      <c r="M156">
        <v>4892.3</v>
      </c>
      <c r="N156">
        <v>3823.3999999999996</v>
      </c>
      <c r="O156">
        <v>1068.9000000000005</v>
      </c>
      <c r="P156">
        <f t="shared" si="18"/>
        <v>880.61400000000003</v>
      </c>
    </row>
    <row r="157" spans="1:16" x14ac:dyDescent="0.35">
      <c r="A157" t="s">
        <v>216</v>
      </c>
      <c r="B157" s="3">
        <v>45229</v>
      </c>
      <c r="C157" t="s">
        <v>23</v>
      </c>
      <c r="D157" t="s">
        <v>150</v>
      </c>
      <c r="E157" t="s">
        <v>42</v>
      </c>
      <c r="F157" t="s">
        <v>43</v>
      </c>
      <c r="G157">
        <v>8</v>
      </c>
      <c r="H157">
        <v>55.49</v>
      </c>
      <c r="I157">
        <v>43.46</v>
      </c>
      <c r="J157">
        <v>10</v>
      </c>
      <c r="K157">
        <v>111</v>
      </c>
      <c r="L157" t="s">
        <v>27</v>
      </c>
      <c r="M157">
        <v>443.92</v>
      </c>
      <c r="N157">
        <v>347.68</v>
      </c>
      <c r="O157">
        <v>96.240000000000009</v>
      </c>
      <c r="P157">
        <f t="shared" si="18"/>
        <v>79.905600000000007</v>
      </c>
    </row>
    <row r="158" spans="1:16" x14ac:dyDescent="0.35">
      <c r="A158" t="s">
        <v>217</v>
      </c>
      <c r="B158" s="3">
        <v>44966</v>
      </c>
      <c r="C158" t="s">
        <v>64</v>
      </c>
      <c r="D158" t="s">
        <v>89</v>
      </c>
      <c r="E158" t="s">
        <v>30</v>
      </c>
      <c r="F158" t="s">
        <v>11</v>
      </c>
      <c r="G158">
        <v>5</v>
      </c>
      <c r="H158">
        <v>263.43</v>
      </c>
      <c r="I158">
        <v>236.25</v>
      </c>
      <c r="J158">
        <v>10</v>
      </c>
      <c r="K158">
        <v>116</v>
      </c>
      <c r="L158" t="s">
        <v>27</v>
      </c>
      <c r="M158">
        <v>1317.15</v>
      </c>
      <c r="N158">
        <v>1181.25</v>
      </c>
      <c r="O158">
        <v>135.90000000000009</v>
      </c>
      <c r="P158">
        <f t="shared" si="18"/>
        <v>237.08700000000002</v>
      </c>
    </row>
    <row r="159" spans="1:16" x14ac:dyDescent="0.35">
      <c r="A159" t="s">
        <v>218</v>
      </c>
      <c r="B159" s="3">
        <v>45260</v>
      </c>
      <c r="C159" t="s">
        <v>1</v>
      </c>
      <c r="D159" t="s">
        <v>2</v>
      </c>
      <c r="E159" t="s">
        <v>10</v>
      </c>
      <c r="F159" t="s">
        <v>11</v>
      </c>
      <c r="G159">
        <v>8</v>
      </c>
      <c r="H159">
        <v>436.15</v>
      </c>
      <c r="I159">
        <v>294.36</v>
      </c>
      <c r="J159">
        <v>0</v>
      </c>
      <c r="K159">
        <v>67</v>
      </c>
      <c r="L159" t="s">
        <v>4</v>
      </c>
      <c r="M159">
        <v>3489.2</v>
      </c>
      <c r="N159">
        <v>2354.88</v>
      </c>
      <c r="O159">
        <v>1134.3199999999997</v>
      </c>
      <c r="P159">
        <f t="shared" si="18"/>
        <v>628.05599999999993</v>
      </c>
    </row>
    <row r="160" spans="1:16" x14ac:dyDescent="0.35">
      <c r="A160" t="s">
        <v>219</v>
      </c>
      <c r="B160" s="3">
        <v>44970</v>
      </c>
      <c r="C160" t="s">
        <v>32</v>
      </c>
      <c r="D160" t="s">
        <v>33</v>
      </c>
      <c r="E160" t="s">
        <v>59</v>
      </c>
      <c r="F160" t="s">
        <v>60</v>
      </c>
      <c r="G160">
        <v>9</v>
      </c>
      <c r="H160">
        <v>94.39</v>
      </c>
      <c r="I160">
        <v>83.92</v>
      </c>
      <c r="J160">
        <v>0</v>
      </c>
      <c r="K160">
        <v>113</v>
      </c>
      <c r="L160" t="s">
        <v>27</v>
      </c>
      <c r="M160">
        <v>849.51</v>
      </c>
      <c r="N160">
        <v>755.28</v>
      </c>
      <c r="O160">
        <v>94.230000000000018</v>
      </c>
      <c r="P160">
        <f t="shared" si="18"/>
        <v>152.9118</v>
      </c>
    </row>
    <row r="161" spans="1:16" x14ac:dyDescent="0.35">
      <c r="A161" t="s">
        <v>220</v>
      </c>
      <c r="B161" s="3">
        <v>45008</v>
      </c>
      <c r="C161" t="s">
        <v>6</v>
      </c>
      <c r="D161" t="s">
        <v>62</v>
      </c>
      <c r="E161" t="s">
        <v>3</v>
      </c>
      <c r="F161" t="s">
        <v>3</v>
      </c>
      <c r="G161">
        <v>4</v>
      </c>
      <c r="H161">
        <v>533.80999999999995</v>
      </c>
      <c r="I161">
        <v>356.73</v>
      </c>
      <c r="J161">
        <v>20</v>
      </c>
      <c r="K161">
        <v>76</v>
      </c>
      <c r="L161" t="s">
        <v>4</v>
      </c>
      <c r="M161">
        <v>2135.2399999999998</v>
      </c>
      <c r="N161">
        <v>1426.92</v>
      </c>
      <c r="O161">
        <v>708.31999999999971</v>
      </c>
      <c r="P161">
        <f t="shared" si="18"/>
        <v>384.34319999999997</v>
      </c>
    </row>
    <row r="162" spans="1:16" x14ac:dyDescent="0.35">
      <c r="A162" t="s">
        <v>221</v>
      </c>
      <c r="B162" s="3">
        <v>44960</v>
      </c>
      <c r="C162" t="s">
        <v>20</v>
      </c>
      <c r="D162" t="s">
        <v>21</v>
      </c>
      <c r="E162" t="s">
        <v>16</v>
      </c>
      <c r="F162" t="s">
        <v>17</v>
      </c>
      <c r="G162">
        <v>7</v>
      </c>
      <c r="H162">
        <v>259.79000000000002</v>
      </c>
      <c r="I162">
        <v>210.3</v>
      </c>
      <c r="J162">
        <v>20</v>
      </c>
      <c r="K162">
        <v>16</v>
      </c>
      <c r="L162" t="s">
        <v>27</v>
      </c>
      <c r="M162">
        <v>1818.5300000000002</v>
      </c>
      <c r="N162">
        <v>1472.1000000000001</v>
      </c>
      <c r="O162">
        <v>346.43000000000006</v>
      </c>
      <c r="P162">
        <f t="shared" ref="P162:P193" si="19">M162*$Q$2</f>
        <v>327.33540000000005</v>
      </c>
    </row>
    <row r="163" spans="1:16" x14ac:dyDescent="0.35">
      <c r="A163" t="s">
        <v>222</v>
      </c>
      <c r="B163" s="3">
        <v>44968</v>
      </c>
      <c r="C163" t="s">
        <v>20</v>
      </c>
      <c r="D163" t="s">
        <v>154</v>
      </c>
      <c r="E163" t="s">
        <v>10</v>
      </c>
      <c r="F163" t="s">
        <v>11</v>
      </c>
      <c r="G163">
        <v>5</v>
      </c>
      <c r="H163">
        <v>192.29</v>
      </c>
      <c r="I163">
        <v>133.47999999999999</v>
      </c>
      <c r="J163">
        <v>20</v>
      </c>
      <c r="K163">
        <v>29</v>
      </c>
      <c r="L163" t="s">
        <v>27</v>
      </c>
      <c r="M163">
        <v>961.44999999999993</v>
      </c>
      <c r="N163">
        <v>667.4</v>
      </c>
      <c r="O163">
        <v>294.04999999999995</v>
      </c>
      <c r="P163">
        <f t="shared" si="19"/>
        <v>173.06099999999998</v>
      </c>
    </row>
    <row r="164" spans="1:16" x14ac:dyDescent="0.35">
      <c r="A164" t="s">
        <v>223</v>
      </c>
      <c r="B164" s="3">
        <v>45289</v>
      </c>
      <c r="C164" t="s">
        <v>6</v>
      </c>
      <c r="D164" t="s">
        <v>62</v>
      </c>
      <c r="E164" t="s">
        <v>25</v>
      </c>
      <c r="F164" t="s">
        <v>26</v>
      </c>
      <c r="G164">
        <v>5</v>
      </c>
      <c r="H164">
        <v>667.86</v>
      </c>
      <c r="I164">
        <v>484.17</v>
      </c>
      <c r="J164">
        <v>15</v>
      </c>
      <c r="K164">
        <v>26</v>
      </c>
      <c r="L164" t="s">
        <v>4</v>
      </c>
      <c r="M164">
        <v>3339.3</v>
      </c>
      <c r="N164">
        <v>2420.85</v>
      </c>
      <c r="O164">
        <v>918.45000000000027</v>
      </c>
      <c r="P164">
        <f t="shared" si="19"/>
        <v>601.07399999999996</v>
      </c>
    </row>
    <row r="165" spans="1:16" x14ac:dyDescent="0.35">
      <c r="A165" t="s">
        <v>224</v>
      </c>
      <c r="B165" s="3">
        <v>45187</v>
      </c>
      <c r="C165" t="s">
        <v>64</v>
      </c>
      <c r="D165" t="s">
        <v>89</v>
      </c>
      <c r="E165" t="s">
        <v>10</v>
      </c>
      <c r="F165" t="s">
        <v>11</v>
      </c>
      <c r="G165">
        <v>6</v>
      </c>
      <c r="H165">
        <v>558.79</v>
      </c>
      <c r="I165">
        <v>408.46</v>
      </c>
      <c r="J165">
        <v>20</v>
      </c>
      <c r="K165">
        <v>21</v>
      </c>
      <c r="L165" t="s">
        <v>18</v>
      </c>
      <c r="M165">
        <v>3352.74</v>
      </c>
      <c r="N165">
        <v>2450.7599999999998</v>
      </c>
      <c r="O165">
        <v>901.98</v>
      </c>
      <c r="P165">
        <f t="shared" si="19"/>
        <v>603.49319999999989</v>
      </c>
    </row>
    <row r="166" spans="1:16" x14ac:dyDescent="0.35">
      <c r="A166" t="s">
        <v>225</v>
      </c>
      <c r="B166" s="3">
        <v>44997</v>
      </c>
      <c r="C166" t="s">
        <v>20</v>
      </c>
      <c r="D166" t="s">
        <v>154</v>
      </c>
      <c r="E166" t="s">
        <v>25</v>
      </c>
      <c r="F166" t="s">
        <v>26</v>
      </c>
      <c r="G166">
        <v>5</v>
      </c>
      <c r="H166">
        <v>116.59</v>
      </c>
      <c r="I166">
        <v>98.33</v>
      </c>
      <c r="J166">
        <v>15</v>
      </c>
      <c r="K166">
        <v>34</v>
      </c>
      <c r="L166" t="s">
        <v>12</v>
      </c>
      <c r="M166">
        <v>582.95000000000005</v>
      </c>
      <c r="N166">
        <v>491.65</v>
      </c>
      <c r="O166">
        <v>91.300000000000068</v>
      </c>
      <c r="P166">
        <f t="shared" si="19"/>
        <v>104.931</v>
      </c>
    </row>
    <row r="167" spans="1:16" x14ac:dyDescent="0.35">
      <c r="A167" t="s">
        <v>226</v>
      </c>
      <c r="B167" s="3">
        <v>45243</v>
      </c>
      <c r="C167" t="s">
        <v>32</v>
      </c>
      <c r="D167" t="s">
        <v>91</v>
      </c>
      <c r="E167" t="s">
        <v>16</v>
      </c>
      <c r="F167" t="s">
        <v>17</v>
      </c>
      <c r="G167">
        <v>2</v>
      </c>
      <c r="H167">
        <v>340.52</v>
      </c>
      <c r="I167">
        <v>258.77</v>
      </c>
      <c r="J167">
        <v>20</v>
      </c>
      <c r="K167">
        <v>14</v>
      </c>
      <c r="L167" t="s">
        <v>27</v>
      </c>
      <c r="M167">
        <v>681.04</v>
      </c>
      <c r="N167">
        <v>517.54</v>
      </c>
      <c r="O167">
        <v>163.5</v>
      </c>
      <c r="P167">
        <f t="shared" si="19"/>
        <v>122.5872</v>
      </c>
    </row>
    <row r="168" spans="1:16" x14ac:dyDescent="0.35">
      <c r="A168" t="s">
        <v>227</v>
      </c>
      <c r="B168" s="3">
        <v>45151</v>
      </c>
      <c r="C168" t="s">
        <v>32</v>
      </c>
      <c r="D168" t="s">
        <v>156</v>
      </c>
      <c r="E168" t="s">
        <v>10</v>
      </c>
      <c r="F168" t="s">
        <v>11</v>
      </c>
      <c r="G168">
        <v>3</v>
      </c>
      <c r="H168">
        <v>128.21</v>
      </c>
      <c r="I168">
        <v>89.5</v>
      </c>
      <c r="J168">
        <v>20</v>
      </c>
      <c r="K168">
        <v>113</v>
      </c>
      <c r="L168" t="s">
        <v>12</v>
      </c>
      <c r="M168">
        <v>384.63</v>
      </c>
      <c r="N168">
        <v>268.5</v>
      </c>
      <c r="O168">
        <v>116.13</v>
      </c>
      <c r="P168">
        <f t="shared" si="19"/>
        <v>69.233400000000003</v>
      </c>
    </row>
    <row r="169" spans="1:16" x14ac:dyDescent="0.35">
      <c r="A169" t="s">
        <v>228</v>
      </c>
      <c r="B169" s="3">
        <v>45049</v>
      </c>
      <c r="C169" t="s">
        <v>64</v>
      </c>
      <c r="D169" t="s">
        <v>81</v>
      </c>
      <c r="E169" t="s">
        <v>25</v>
      </c>
      <c r="F169" t="s">
        <v>26</v>
      </c>
      <c r="G169">
        <v>4</v>
      </c>
      <c r="H169">
        <v>652.09</v>
      </c>
      <c r="I169">
        <v>485.1</v>
      </c>
      <c r="J169">
        <v>15</v>
      </c>
      <c r="K169">
        <v>39</v>
      </c>
      <c r="L169" t="s">
        <v>4</v>
      </c>
      <c r="M169">
        <v>2608.36</v>
      </c>
      <c r="N169">
        <v>1940.4</v>
      </c>
      <c r="O169">
        <v>667.96</v>
      </c>
      <c r="P169">
        <f t="shared" si="19"/>
        <v>469.50479999999999</v>
      </c>
    </row>
    <row r="170" spans="1:16" x14ac:dyDescent="0.35">
      <c r="A170" t="s">
        <v>229</v>
      </c>
      <c r="B170" s="3">
        <v>45122</v>
      </c>
      <c r="C170" t="s">
        <v>20</v>
      </c>
      <c r="D170" t="s">
        <v>129</v>
      </c>
      <c r="E170" t="s">
        <v>36</v>
      </c>
      <c r="F170" t="s">
        <v>37</v>
      </c>
      <c r="G170">
        <v>6</v>
      </c>
      <c r="H170">
        <v>454.72</v>
      </c>
      <c r="I170">
        <v>342.37</v>
      </c>
      <c r="J170">
        <v>15</v>
      </c>
      <c r="K170">
        <v>69</v>
      </c>
      <c r="L170" t="s">
        <v>27</v>
      </c>
      <c r="M170">
        <v>2728.32</v>
      </c>
      <c r="N170">
        <v>2054.2200000000003</v>
      </c>
      <c r="O170">
        <v>674.09999999999991</v>
      </c>
      <c r="P170">
        <f t="shared" si="19"/>
        <v>491.0976</v>
      </c>
    </row>
    <row r="171" spans="1:16" x14ac:dyDescent="0.35">
      <c r="A171" t="s">
        <v>230</v>
      </c>
      <c r="B171" s="3">
        <v>45255</v>
      </c>
      <c r="C171" t="s">
        <v>6</v>
      </c>
      <c r="D171" t="s">
        <v>52</v>
      </c>
      <c r="E171" t="s">
        <v>10</v>
      </c>
      <c r="F171" t="s">
        <v>11</v>
      </c>
      <c r="G171">
        <v>3</v>
      </c>
      <c r="H171">
        <v>582.79999999999995</v>
      </c>
      <c r="I171">
        <v>410.28</v>
      </c>
      <c r="J171">
        <v>5</v>
      </c>
      <c r="K171">
        <v>42</v>
      </c>
      <c r="L171" t="s">
        <v>38</v>
      </c>
      <c r="M171">
        <v>1748.3999999999999</v>
      </c>
      <c r="N171">
        <v>1230.8399999999999</v>
      </c>
      <c r="O171">
        <v>517.55999999999995</v>
      </c>
      <c r="P171">
        <f t="shared" si="19"/>
        <v>314.71199999999999</v>
      </c>
    </row>
    <row r="172" spans="1:16" x14ac:dyDescent="0.35">
      <c r="A172" t="s">
        <v>231</v>
      </c>
      <c r="B172" s="3">
        <v>45189</v>
      </c>
      <c r="C172" t="s">
        <v>14</v>
      </c>
      <c r="D172" t="s">
        <v>15</v>
      </c>
      <c r="E172" t="s">
        <v>30</v>
      </c>
      <c r="F172" t="s">
        <v>11</v>
      </c>
      <c r="G172">
        <v>9</v>
      </c>
      <c r="H172">
        <v>518.47</v>
      </c>
      <c r="I172">
        <v>427.07</v>
      </c>
      <c r="J172">
        <v>5</v>
      </c>
      <c r="K172">
        <v>44</v>
      </c>
      <c r="L172" t="s">
        <v>18</v>
      </c>
      <c r="M172">
        <v>4666.2300000000005</v>
      </c>
      <c r="N172">
        <v>3843.63</v>
      </c>
      <c r="O172">
        <v>822.60000000000036</v>
      </c>
      <c r="P172">
        <f t="shared" si="19"/>
        <v>839.92140000000006</v>
      </c>
    </row>
    <row r="173" spans="1:16" x14ac:dyDescent="0.35">
      <c r="A173" t="s">
        <v>232</v>
      </c>
      <c r="B173" s="3">
        <v>45129</v>
      </c>
      <c r="C173" t="s">
        <v>32</v>
      </c>
      <c r="D173" t="s">
        <v>50</v>
      </c>
      <c r="E173" t="s">
        <v>30</v>
      </c>
      <c r="F173" t="s">
        <v>11</v>
      </c>
      <c r="G173">
        <v>4</v>
      </c>
      <c r="H173">
        <v>596.34</v>
      </c>
      <c r="I173">
        <v>410.18</v>
      </c>
      <c r="J173">
        <v>0</v>
      </c>
      <c r="K173">
        <v>63</v>
      </c>
      <c r="L173" t="s">
        <v>38</v>
      </c>
      <c r="M173">
        <v>2385.36</v>
      </c>
      <c r="N173">
        <v>1640.72</v>
      </c>
      <c r="O173">
        <v>744.6400000000001</v>
      </c>
      <c r="P173">
        <f t="shared" si="19"/>
        <v>429.3648</v>
      </c>
    </row>
    <row r="174" spans="1:16" x14ac:dyDescent="0.35">
      <c r="A174" t="s">
        <v>233</v>
      </c>
      <c r="B174" s="3">
        <v>45259</v>
      </c>
      <c r="C174" t="s">
        <v>6</v>
      </c>
      <c r="D174" t="s">
        <v>200</v>
      </c>
      <c r="E174" t="s">
        <v>36</v>
      </c>
      <c r="F174" t="s">
        <v>37</v>
      </c>
      <c r="G174">
        <v>7</v>
      </c>
      <c r="H174">
        <v>621.63</v>
      </c>
      <c r="I174">
        <v>497.32</v>
      </c>
      <c r="J174">
        <v>0</v>
      </c>
      <c r="K174">
        <v>50</v>
      </c>
      <c r="L174" t="s">
        <v>38</v>
      </c>
      <c r="M174">
        <v>4351.41</v>
      </c>
      <c r="N174">
        <v>3481.24</v>
      </c>
      <c r="O174">
        <v>870.17000000000007</v>
      </c>
      <c r="P174">
        <f t="shared" si="19"/>
        <v>783.25379999999996</v>
      </c>
    </row>
    <row r="175" spans="1:16" x14ac:dyDescent="0.35">
      <c r="A175" t="s">
        <v>234</v>
      </c>
      <c r="B175" s="3">
        <v>45156</v>
      </c>
      <c r="C175" t="s">
        <v>20</v>
      </c>
      <c r="D175" t="s">
        <v>87</v>
      </c>
      <c r="E175" t="s">
        <v>42</v>
      </c>
      <c r="F175" t="s">
        <v>43</v>
      </c>
      <c r="G175">
        <v>1</v>
      </c>
      <c r="H175">
        <v>215.6</v>
      </c>
      <c r="I175">
        <v>150.57</v>
      </c>
      <c r="J175">
        <v>5</v>
      </c>
      <c r="K175">
        <v>107</v>
      </c>
      <c r="L175" t="s">
        <v>18</v>
      </c>
      <c r="M175">
        <v>215.6</v>
      </c>
      <c r="N175">
        <v>150.57</v>
      </c>
      <c r="O175">
        <v>65.03</v>
      </c>
      <c r="P175">
        <f t="shared" si="19"/>
        <v>38.808</v>
      </c>
    </row>
    <row r="176" spans="1:16" x14ac:dyDescent="0.35">
      <c r="A176" t="s">
        <v>235</v>
      </c>
      <c r="B176" s="3">
        <v>45197</v>
      </c>
      <c r="C176" t="s">
        <v>6</v>
      </c>
      <c r="D176" t="s">
        <v>56</v>
      </c>
      <c r="E176" t="s">
        <v>30</v>
      </c>
      <c r="F176" t="s">
        <v>11</v>
      </c>
      <c r="G176">
        <v>1</v>
      </c>
      <c r="H176">
        <v>194.16</v>
      </c>
      <c r="I176">
        <v>135.4</v>
      </c>
      <c r="J176">
        <v>20</v>
      </c>
      <c r="K176">
        <v>103</v>
      </c>
      <c r="L176" t="s">
        <v>4</v>
      </c>
      <c r="M176">
        <v>194.16</v>
      </c>
      <c r="N176">
        <v>135.4</v>
      </c>
      <c r="O176">
        <v>58.759999999999991</v>
      </c>
      <c r="P176">
        <f t="shared" si="19"/>
        <v>34.948799999999999</v>
      </c>
    </row>
    <row r="177" spans="1:16" x14ac:dyDescent="0.35">
      <c r="A177" t="s">
        <v>236</v>
      </c>
      <c r="B177" s="3">
        <v>45161</v>
      </c>
      <c r="C177" t="s">
        <v>14</v>
      </c>
      <c r="D177" t="s">
        <v>54</v>
      </c>
      <c r="E177" t="s">
        <v>16</v>
      </c>
      <c r="F177" t="s">
        <v>17</v>
      </c>
      <c r="G177">
        <v>4</v>
      </c>
      <c r="H177">
        <v>176.33</v>
      </c>
      <c r="I177">
        <v>157.56</v>
      </c>
      <c r="J177">
        <v>15</v>
      </c>
      <c r="K177">
        <v>91</v>
      </c>
      <c r="L177" t="s">
        <v>4</v>
      </c>
      <c r="M177">
        <v>705.32</v>
      </c>
      <c r="N177">
        <v>630.24</v>
      </c>
      <c r="O177">
        <v>75.080000000000041</v>
      </c>
      <c r="P177">
        <f t="shared" si="19"/>
        <v>126.9576</v>
      </c>
    </row>
    <row r="178" spans="1:16" x14ac:dyDescent="0.35">
      <c r="A178" t="s">
        <v>237</v>
      </c>
      <c r="B178" s="3">
        <v>45076</v>
      </c>
      <c r="C178" t="s">
        <v>64</v>
      </c>
      <c r="D178" t="s">
        <v>107</v>
      </c>
      <c r="E178" t="s">
        <v>59</v>
      </c>
      <c r="F178" t="s">
        <v>60</v>
      </c>
      <c r="G178">
        <v>10</v>
      </c>
      <c r="H178">
        <v>368.86</v>
      </c>
      <c r="I178">
        <v>272.67</v>
      </c>
      <c r="J178">
        <v>20</v>
      </c>
      <c r="K178">
        <v>40</v>
      </c>
      <c r="L178" t="s">
        <v>12</v>
      </c>
      <c r="M178">
        <v>3688.6000000000004</v>
      </c>
      <c r="N178">
        <v>2726.7000000000003</v>
      </c>
      <c r="O178">
        <v>961.90000000000009</v>
      </c>
      <c r="P178">
        <f t="shared" si="19"/>
        <v>663.94800000000009</v>
      </c>
    </row>
    <row r="179" spans="1:16" x14ac:dyDescent="0.35">
      <c r="A179" t="s">
        <v>238</v>
      </c>
      <c r="B179" s="3">
        <v>44961</v>
      </c>
      <c r="C179" t="s">
        <v>14</v>
      </c>
      <c r="D179" t="s">
        <v>54</v>
      </c>
      <c r="E179" t="s">
        <v>25</v>
      </c>
      <c r="F179" t="s">
        <v>26</v>
      </c>
      <c r="G179">
        <v>4</v>
      </c>
      <c r="H179">
        <v>340.29</v>
      </c>
      <c r="I179">
        <v>289.63</v>
      </c>
      <c r="J179">
        <v>0</v>
      </c>
      <c r="K179">
        <v>77</v>
      </c>
      <c r="L179" t="s">
        <v>27</v>
      </c>
      <c r="M179">
        <v>1361.16</v>
      </c>
      <c r="N179">
        <v>1158.52</v>
      </c>
      <c r="O179">
        <v>202.6400000000001</v>
      </c>
      <c r="P179">
        <f t="shared" si="19"/>
        <v>245.00880000000001</v>
      </c>
    </row>
    <row r="180" spans="1:16" x14ac:dyDescent="0.35">
      <c r="A180" t="s">
        <v>239</v>
      </c>
      <c r="B180" s="3">
        <v>44935</v>
      </c>
      <c r="C180" t="s">
        <v>6</v>
      </c>
      <c r="D180" t="s">
        <v>52</v>
      </c>
      <c r="E180" t="s">
        <v>3</v>
      </c>
      <c r="F180" t="s">
        <v>3</v>
      </c>
      <c r="G180">
        <v>7</v>
      </c>
      <c r="H180">
        <v>489.35</v>
      </c>
      <c r="I180">
        <v>437.93</v>
      </c>
      <c r="J180">
        <v>15</v>
      </c>
      <c r="K180">
        <v>57</v>
      </c>
      <c r="L180" t="s">
        <v>27</v>
      </c>
      <c r="M180">
        <v>3425.4500000000003</v>
      </c>
      <c r="N180">
        <v>3065.51</v>
      </c>
      <c r="O180">
        <v>359.94000000000005</v>
      </c>
      <c r="P180">
        <f t="shared" si="19"/>
        <v>616.58100000000002</v>
      </c>
    </row>
    <row r="181" spans="1:16" x14ac:dyDescent="0.35">
      <c r="A181" t="s">
        <v>240</v>
      </c>
      <c r="B181" s="3">
        <v>44995</v>
      </c>
      <c r="C181" t="s">
        <v>20</v>
      </c>
      <c r="D181" t="s">
        <v>154</v>
      </c>
      <c r="E181" t="s">
        <v>25</v>
      </c>
      <c r="F181" t="s">
        <v>26</v>
      </c>
      <c r="G181">
        <v>4</v>
      </c>
      <c r="H181">
        <v>498.82</v>
      </c>
      <c r="I181">
        <v>369.14</v>
      </c>
      <c r="J181">
        <v>20</v>
      </c>
      <c r="K181">
        <v>104</v>
      </c>
      <c r="L181" t="s">
        <v>27</v>
      </c>
      <c r="M181">
        <v>1995.28</v>
      </c>
      <c r="N181">
        <v>1476.56</v>
      </c>
      <c r="O181">
        <v>518.72</v>
      </c>
      <c r="P181">
        <f t="shared" si="19"/>
        <v>359.15039999999999</v>
      </c>
    </row>
    <row r="182" spans="1:16" x14ac:dyDescent="0.35">
      <c r="A182" t="s">
        <v>241</v>
      </c>
      <c r="B182" s="3">
        <v>44996</v>
      </c>
      <c r="C182" t="s">
        <v>64</v>
      </c>
      <c r="D182" t="s">
        <v>89</v>
      </c>
      <c r="E182" t="s">
        <v>25</v>
      </c>
      <c r="F182" t="s">
        <v>26</v>
      </c>
      <c r="G182">
        <v>3</v>
      </c>
      <c r="H182">
        <v>572.75</v>
      </c>
      <c r="I182">
        <v>416.89</v>
      </c>
      <c r="J182">
        <v>15</v>
      </c>
      <c r="K182">
        <v>90</v>
      </c>
      <c r="L182" t="s">
        <v>12</v>
      </c>
      <c r="M182">
        <v>1718.25</v>
      </c>
      <c r="N182">
        <v>1250.67</v>
      </c>
      <c r="O182">
        <v>467.57999999999993</v>
      </c>
      <c r="P182">
        <f t="shared" si="19"/>
        <v>309.28499999999997</v>
      </c>
    </row>
    <row r="183" spans="1:16" x14ac:dyDescent="0.35">
      <c r="A183" t="s">
        <v>242</v>
      </c>
      <c r="B183" s="3">
        <v>45190</v>
      </c>
      <c r="C183" t="s">
        <v>64</v>
      </c>
      <c r="D183" t="s">
        <v>81</v>
      </c>
      <c r="E183" t="s">
        <v>3</v>
      </c>
      <c r="F183" t="s">
        <v>3</v>
      </c>
      <c r="G183">
        <v>5</v>
      </c>
      <c r="H183">
        <v>154.08000000000001</v>
      </c>
      <c r="I183">
        <v>108.78</v>
      </c>
      <c r="J183">
        <v>0</v>
      </c>
      <c r="K183">
        <v>50</v>
      </c>
      <c r="L183" t="s">
        <v>27</v>
      </c>
      <c r="M183">
        <v>770.40000000000009</v>
      </c>
      <c r="N183">
        <v>543.9</v>
      </c>
      <c r="O183">
        <v>226.50000000000011</v>
      </c>
      <c r="P183">
        <f t="shared" si="19"/>
        <v>138.672</v>
      </c>
    </row>
    <row r="184" spans="1:16" x14ac:dyDescent="0.35">
      <c r="A184" t="s">
        <v>243</v>
      </c>
      <c r="B184" s="3">
        <v>45262</v>
      </c>
      <c r="C184" t="s">
        <v>14</v>
      </c>
      <c r="D184" t="s">
        <v>73</v>
      </c>
      <c r="E184" t="s">
        <v>59</v>
      </c>
      <c r="F184" t="s">
        <v>60</v>
      </c>
      <c r="G184">
        <v>5</v>
      </c>
      <c r="H184">
        <v>37.96</v>
      </c>
      <c r="I184">
        <v>27.94</v>
      </c>
      <c r="J184">
        <v>10</v>
      </c>
      <c r="K184">
        <v>55</v>
      </c>
      <c r="L184" t="s">
        <v>38</v>
      </c>
      <c r="M184">
        <v>189.8</v>
      </c>
      <c r="N184">
        <v>139.70000000000002</v>
      </c>
      <c r="O184">
        <v>50.099999999999994</v>
      </c>
      <c r="P184">
        <f t="shared" si="19"/>
        <v>34.164000000000001</v>
      </c>
    </row>
    <row r="185" spans="1:16" x14ac:dyDescent="0.35">
      <c r="A185" t="s">
        <v>244</v>
      </c>
      <c r="B185" s="3">
        <v>45022</v>
      </c>
      <c r="C185" t="s">
        <v>20</v>
      </c>
      <c r="D185" t="s">
        <v>21</v>
      </c>
      <c r="E185" t="s">
        <v>30</v>
      </c>
      <c r="F185" t="s">
        <v>11</v>
      </c>
      <c r="G185">
        <v>6</v>
      </c>
      <c r="H185">
        <v>282.38</v>
      </c>
      <c r="I185">
        <v>224.11</v>
      </c>
      <c r="J185">
        <v>15</v>
      </c>
      <c r="K185">
        <v>59</v>
      </c>
      <c r="L185" t="s">
        <v>27</v>
      </c>
      <c r="M185">
        <v>1694.28</v>
      </c>
      <c r="N185">
        <v>1344.66</v>
      </c>
      <c r="O185">
        <v>349.61999999999989</v>
      </c>
      <c r="P185">
        <f t="shared" si="19"/>
        <v>304.97039999999998</v>
      </c>
    </row>
    <row r="186" spans="1:16" x14ac:dyDescent="0.35">
      <c r="A186" t="s">
        <v>245</v>
      </c>
      <c r="B186" s="3">
        <v>45235</v>
      </c>
      <c r="C186" t="s">
        <v>14</v>
      </c>
      <c r="D186" t="s">
        <v>104</v>
      </c>
      <c r="E186" t="s">
        <v>25</v>
      </c>
      <c r="F186" t="s">
        <v>26</v>
      </c>
      <c r="G186">
        <v>9</v>
      </c>
      <c r="H186">
        <v>159.41</v>
      </c>
      <c r="I186">
        <v>140.69</v>
      </c>
      <c r="J186">
        <v>15</v>
      </c>
      <c r="K186">
        <v>20</v>
      </c>
      <c r="L186" t="s">
        <v>18</v>
      </c>
      <c r="M186">
        <v>1434.69</v>
      </c>
      <c r="N186">
        <v>1266.21</v>
      </c>
      <c r="O186">
        <v>168.48000000000002</v>
      </c>
      <c r="P186">
        <f t="shared" si="19"/>
        <v>258.24419999999998</v>
      </c>
    </row>
    <row r="187" spans="1:16" x14ac:dyDescent="0.35">
      <c r="A187" t="s">
        <v>246</v>
      </c>
      <c r="B187" s="3">
        <v>45235</v>
      </c>
      <c r="C187" t="s">
        <v>23</v>
      </c>
      <c r="D187" t="s">
        <v>29</v>
      </c>
      <c r="E187" t="s">
        <v>16</v>
      </c>
      <c r="F187" t="s">
        <v>17</v>
      </c>
      <c r="G187">
        <v>6</v>
      </c>
      <c r="H187">
        <v>74.2</v>
      </c>
      <c r="I187">
        <v>60.27</v>
      </c>
      <c r="J187">
        <v>10</v>
      </c>
      <c r="K187">
        <v>49</v>
      </c>
      <c r="L187" t="s">
        <v>18</v>
      </c>
      <c r="M187">
        <v>445.20000000000005</v>
      </c>
      <c r="N187">
        <v>361.62</v>
      </c>
      <c r="O187">
        <v>83.580000000000041</v>
      </c>
      <c r="P187">
        <f t="shared" si="19"/>
        <v>80.13600000000001</v>
      </c>
    </row>
    <row r="188" spans="1:16" x14ac:dyDescent="0.35">
      <c r="A188" t="s">
        <v>247</v>
      </c>
      <c r="B188" s="3">
        <v>45067</v>
      </c>
      <c r="C188" t="s">
        <v>1</v>
      </c>
      <c r="D188" t="s">
        <v>41</v>
      </c>
      <c r="E188" t="s">
        <v>42</v>
      </c>
      <c r="F188" t="s">
        <v>43</v>
      </c>
      <c r="G188">
        <v>8</v>
      </c>
      <c r="H188">
        <v>203.57</v>
      </c>
      <c r="I188">
        <v>182.26</v>
      </c>
      <c r="J188">
        <v>10</v>
      </c>
      <c r="K188">
        <v>88</v>
      </c>
      <c r="L188" t="s">
        <v>18</v>
      </c>
      <c r="M188">
        <v>1628.56</v>
      </c>
      <c r="N188">
        <v>1458.08</v>
      </c>
      <c r="O188">
        <v>170.48000000000002</v>
      </c>
      <c r="P188">
        <f t="shared" si="19"/>
        <v>293.14079999999996</v>
      </c>
    </row>
    <row r="189" spans="1:16" x14ac:dyDescent="0.35">
      <c r="A189" t="s">
        <v>248</v>
      </c>
      <c r="B189" s="3">
        <v>45238</v>
      </c>
      <c r="C189" t="s">
        <v>1</v>
      </c>
      <c r="D189" t="s">
        <v>2</v>
      </c>
      <c r="E189" t="s">
        <v>30</v>
      </c>
      <c r="F189" t="s">
        <v>11</v>
      </c>
      <c r="G189">
        <v>7</v>
      </c>
      <c r="H189">
        <v>267.07</v>
      </c>
      <c r="I189">
        <v>188.02</v>
      </c>
      <c r="J189">
        <v>5</v>
      </c>
      <c r="K189">
        <v>13</v>
      </c>
      <c r="L189" t="s">
        <v>12</v>
      </c>
      <c r="M189">
        <v>1869.49</v>
      </c>
      <c r="N189">
        <v>1316.14</v>
      </c>
      <c r="O189">
        <v>553.34999999999991</v>
      </c>
      <c r="P189">
        <f t="shared" si="19"/>
        <v>336.50819999999999</v>
      </c>
    </row>
    <row r="190" spans="1:16" x14ac:dyDescent="0.35">
      <c r="A190" t="s">
        <v>249</v>
      </c>
      <c r="B190" s="3">
        <v>45217</v>
      </c>
      <c r="C190" t="s">
        <v>1</v>
      </c>
      <c r="D190" t="s">
        <v>41</v>
      </c>
      <c r="E190" t="s">
        <v>3</v>
      </c>
      <c r="F190" t="s">
        <v>3</v>
      </c>
      <c r="G190">
        <v>3</v>
      </c>
      <c r="H190">
        <v>60.61</v>
      </c>
      <c r="I190">
        <v>42.94</v>
      </c>
      <c r="J190">
        <v>10</v>
      </c>
      <c r="K190">
        <v>56</v>
      </c>
      <c r="L190" t="s">
        <v>18</v>
      </c>
      <c r="M190">
        <v>181.82999999999998</v>
      </c>
      <c r="N190">
        <v>128.82</v>
      </c>
      <c r="O190">
        <v>53.009999999999991</v>
      </c>
      <c r="P190">
        <f t="shared" si="19"/>
        <v>32.729399999999998</v>
      </c>
    </row>
    <row r="191" spans="1:16" x14ac:dyDescent="0.35">
      <c r="A191" t="s">
        <v>250</v>
      </c>
      <c r="B191" s="3">
        <v>45198</v>
      </c>
      <c r="C191" t="s">
        <v>64</v>
      </c>
      <c r="D191" t="s">
        <v>65</v>
      </c>
      <c r="E191" t="s">
        <v>42</v>
      </c>
      <c r="F191" t="s">
        <v>43</v>
      </c>
      <c r="G191">
        <v>8</v>
      </c>
      <c r="H191">
        <v>593.08000000000004</v>
      </c>
      <c r="I191">
        <v>474.92</v>
      </c>
      <c r="J191">
        <v>0</v>
      </c>
      <c r="K191">
        <v>83</v>
      </c>
      <c r="L191" t="s">
        <v>12</v>
      </c>
      <c r="M191">
        <v>4744.6400000000003</v>
      </c>
      <c r="N191">
        <v>3799.36</v>
      </c>
      <c r="O191">
        <v>945.2800000000002</v>
      </c>
      <c r="P191">
        <f t="shared" si="19"/>
        <v>854.03520000000003</v>
      </c>
    </row>
    <row r="192" spans="1:16" x14ac:dyDescent="0.35">
      <c r="A192" t="s">
        <v>251</v>
      </c>
      <c r="B192" s="3">
        <v>45125</v>
      </c>
      <c r="C192" t="s">
        <v>20</v>
      </c>
      <c r="D192" t="s">
        <v>129</v>
      </c>
      <c r="E192" t="s">
        <v>25</v>
      </c>
      <c r="F192" t="s">
        <v>26</v>
      </c>
      <c r="G192">
        <v>5</v>
      </c>
      <c r="H192">
        <v>151.55000000000001</v>
      </c>
      <c r="I192">
        <v>132.31</v>
      </c>
      <c r="J192">
        <v>5</v>
      </c>
      <c r="K192">
        <v>73</v>
      </c>
      <c r="L192" t="s">
        <v>4</v>
      </c>
      <c r="M192">
        <v>757.75</v>
      </c>
      <c r="N192">
        <v>661.55</v>
      </c>
      <c r="O192">
        <v>96.200000000000045</v>
      </c>
      <c r="P192">
        <f t="shared" si="19"/>
        <v>136.39499999999998</v>
      </c>
    </row>
    <row r="193" spans="1:16" x14ac:dyDescent="0.35">
      <c r="A193" t="s">
        <v>252</v>
      </c>
      <c r="B193" s="3">
        <v>45029</v>
      </c>
      <c r="C193" t="s">
        <v>6</v>
      </c>
      <c r="D193" t="s">
        <v>56</v>
      </c>
      <c r="E193" t="s">
        <v>16</v>
      </c>
      <c r="F193" t="s">
        <v>17</v>
      </c>
      <c r="G193">
        <v>5</v>
      </c>
      <c r="H193">
        <v>420.95</v>
      </c>
      <c r="I193">
        <v>354.98</v>
      </c>
      <c r="J193">
        <v>20</v>
      </c>
      <c r="K193">
        <v>46</v>
      </c>
      <c r="L193" t="s">
        <v>18</v>
      </c>
      <c r="M193">
        <v>2104.75</v>
      </c>
      <c r="N193">
        <v>1774.9</v>
      </c>
      <c r="O193">
        <v>329.84999999999991</v>
      </c>
      <c r="P193">
        <f t="shared" si="19"/>
        <v>378.85499999999996</v>
      </c>
    </row>
    <row r="194" spans="1:16" x14ac:dyDescent="0.35">
      <c r="A194" t="s">
        <v>253</v>
      </c>
      <c r="B194" s="3">
        <v>45268</v>
      </c>
      <c r="C194" t="s">
        <v>64</v>
      </c>
      <c r="D194" t="s">
        <v>77</v>
      </c>
      <c r="E194" t="s">
        <v>30</v>
      </c>
      <c r="F194" t="s">
        <v>11</v>
      </c>
      <c r="G194">
        <v>8</v>
      </c>
      <c r="H194">
        <v>131.05000000000001</v>
      </c>
      <c r="I194">
        <v>94.6</v>
      </c>
      <c r="J194">
        <v>0</v>
      </c>
      <c r="K194">
        <v>113</v>
      </c>
      <c r="L194" t="s">
        <v>27</v>
      </c>
      <c r="M194">
        <v>1048.4000000000001</v>
      </c>
      <c r="N194">
        <v>756.8</v>
      </c>
      <c r="O194">
        <v>291.60000000000014</v>
      </c>
      <c r="P194">
        <f t="shared" ref="P194:P201" si="20">M194*$Q$2</f>
        <v>188.71200000000002</v>
      </c>
    </row>
    <row r="195" spans="1:16" x14ac:dyDescent="0.35">
      <c r="A195" t="s">
        <v>254</v>
      </c>
      <c r="B195" s="3">
        <v>45187</v>
      </c>
      <c r="C195" t="s">
        <v>20</v>
      </c>
      <c r="D195" t="s">
        <v>154</v>
      </c>
      <c r="E195" t="s">
        <v>16</v>
      </c>
      <c r="F195" t="s">
        <v>17</v>
      </c>
      <c r="G195">
        <v>5</v>
      </c>
      <c r="H195">
        <v>591.51</v>
      </c>
      <c r="I195">
        <v>427.17</v>
      </c>
      <c r="J195">
        <v>5</v>
      </c>
      <c r="K195">
        <v>111</v>
      </c>
      <c r="L195" t="s">
        <v>27</v>
      </c>
      <c r="M195">
        <v>2957.55</v>
      </c>
      <c r="N195">
        <v>2135.85</v>
      </c>
      <c r="O195">
        <v>821.70000000000027</v>
      </c>
      <c r="P195">
        <f t="shared" si="20"/>
        <v>532.35900000000004</v>
      </c>
    </row>
    <row r="196" spans="1:16" x14ac:dyDescent="0.35">
      <c r="A196" t="s">
        <v>255</v>
      </c>
      <c r="B196" s="3">
        <v>45115</v>
      </c>
      <c r="C196" t="s">
        <v>32</v>
      </c>
      <c r="D196" t="s">
        <v>91</v>
      </c>
      <c r="E196" t="s">
        <v>36</v>
      </c>
      <c r="F196" t="s">
        <v>37</v>
      </c>
      <c r="G196">
        <v>3</v>
      </c>
      <c r="H196">
        <v>163.5</v>
      </c>
      <c r="I196">
        <v>126</v>
      </c>
      <c r="J196">
        <v>10</v>
      </c>
      <c r="K196">
        <v>80</v>
      </c>
      <c r="L196" t="s">
        <v>4</v>
      </c>
      <c r="M196">
        <v>490.5</v>
      </c>
      <c r="N196">
        <v>378</v>
      </c>
      <c r="O196">
        <v>112.5</v>
      </c>
      <c r="P196">
        <f t="shared" si="20"/>
        <v>88.289999999999992</v>
      </c>
    </row>
    <row r="197" spans="1:16" x14ac:dyDescent="0.35">
      <c r="A197" t="s">
        <v>256</v>
      </c>
      <c r="B197" s="3">
        <v>45196</v>
      </c>
      <c r="C197" t="s">
        <v>14</v>
      </c>
      <c r="D197" t="s">
        <v>73</v>
      </c>
      <c r="E197" t="s">
        <v>42</v>
      </c>
      <c r="F197" t="s">
        <v>43</v>
      </c>
      <c r="G197">
        <v>10</v>
      </c>
      <c r="H197">
        <v>499.27</v>
      </c>
      <c r="I197">
        <v>443.28</v>
      </c>
      <c r="J197">
        <v>15</v>
      </c>
      <c r="K197">
        <v>101</v>
      </c>
      <c r="L197" t="s">
        <v>18</v>
      </c>
      <c r="M197">
        <v>4992.7</v>
      </c>
      <c r="N197">
        <v>4432.7999999999993</v>
      </c>
      <c r="O197">
        <v>559.90000000000055</v>
      </c>
      <c r="P197">
        <f t="shared" si="20"/>
        <v>898.68599999999992</v>
      </c>
    </row>
    <row r="198" spans="1:16" x14ac:dyDescent="0.35">
      <c r="A198" t="s">
        <v>257</v>
      </c>
      <c r="B198" s="3">
        <v>45103</v>
      </c>
      <c r="C198" t="s">
        <v>14</v>
      </c>
      <c r="D198" t="s">
        <v>104</v>
      </c>
      <c r="E198" t="s">
        <v>30</v>
      </c>
      <c r="F198" t="s">
        <v>11</v>
      </c>
      <c r="G198">
        <v>3</v>
      </c>
      <c r="H198">
        <v>660.11</v>
      </c>
      <c r="I198">
        <v>486.47</v>
      </c>
      <c r="J198">
        <v>15</v>
      </c>
      <c r="K198">
        <v>69</v>
      </c>
      <c r="L198" t="s">
        <v>4</v>
      </c>
      <c r="M198">
        <v>1980.33</v>
      </c>
      <c r="N198">
        <v>1459.41</v>
      </c>
      <c r="O198">
        <v>520.91999999999985</v>
      </c>
      <c r="P198">
        <f t="shared" si="20"/>
        <v>356.45939999999996</v>
      </c>
    </row>
    <row r="199" spans="1:16" x14ac:dyDescent="0.35">
      <c r="A199" t="s">
        <v>258</v>
      </c>
      <c r="B199" s="3">
        <v>45192</v>
      </c>
      <c r="C199" t="s">
        <v>32</v>
      </c>
      <c r="D199" t="s">
        <v>156</v>
      </c>
      <c r="E199" t="s">
        <v>42</v>
      </c>
      <c r="F199" t="s">
        <v>43</v>
      </c>
      <c r="G199">
        <v>3</v>
      </c>
      <c r="H199">
        <v>325.04000000000002</v>
      </c>
      <c r="I199">
        <v>221.98</v>
      </c>
      <c r="J199">
        <v>0</v>
      </c>
      <c r="K199">
        <v>116</v>
      </c>
      <c r="L199" t="s">
        <v>38</v>
      </c>
      <c r="M199">
        <v>975.12000000000012</v>
      </c>
      <c r="N199">
        <v>665.93999999999994</v>
      </c>
      <c r="O199">
        <v>309.18000000000018</v>
      </c>
      <c r="P199">
        <f t="shared" si="20"/>
        <v>175.52160000000001</v>
      </c>
    </row>
    <row r="200" spans="1:16" x14ac:dyDescent="0.35">
      <c r="A200" t="s">
        <v>259</v>
      </c>
      <c r="B200" s="3">
        <v>44967</v>
      </c>
      <c r="C200" t="s">
        <v>32</v>
      </c>
      <c r="D200" t="s">
        <v>33</v>
      </c>
      <c r="E200" t="s">
        <v>42</v>
      </c>
      <c r="F200" t="s">
        <v>43</v>
      </c>
      <c r="G200">
        <v>3</v>
      </c>
      <c r="H200">
        <v>232.61</v>
      </c>
      <c r="I200">
        <v>168.1</v>
      </c>
      <c r="J200">
        <v>10</v>
      </c>
      <c r="K200">
        <v>76</v>
      </c>
      <c r="L200" t="s">
        <v>27</v>
      </c>
      <c r="M200">
        <v>697.83</v>
      </c>
      <c r="N200">
        <v>504.29999999999995</v>
      </c>
      <c r="O200">
        <v>193.53000000000009</v>
      </c>
      <c r="P200">
        <f t="shared" si="20"/>
        <v>125.60940000000001</v>
      </c>
    </row>
    <row r="201" spans="1:16" x14ac:dyDescent="0.35">
      <c r="A201" t="s">
        <v>260</v>
      </c>
      <c r="B201" s="3">
        <v>45230</v>
      </c>
      <c r="C201" t="s">
        <v>20</v>
      </c>
      <c r="D201" t="s">
        <v>87</v>
      </c>
      <c r="E201" t="s">
        <v>16</v>
      </c>
      <c r="F201" t="s">
        <v>17</v>
      </c>
      <c r="G201">
        <v>3</v>
      </c>
      <c r="H201">
        <v>425.61</v>
      </c>
      <c r="I201">
        <v>316.26</v>
      </c>
      <c r="J201">
        <v>0</v>
      </c>
      <c r="K201">
        <v>74</v>
      </c>
      <c r="L201" t="s">
        <v>12</v>
      </c>
      <c r="M201">
        <v>1276.83</v>
      </c>
      <c r="N201">
        <v>948.78</v>
      </c>
      <c r="O201">
        <v>328.04999999999995</v>
      </c>
      <c r="P201">
        <f t="shared" si="20"/>
        <v>229.82939999999999</v>
      </c>
    </row>
  </sheetData>
  <mergeCells count="2">
    <mergeCell ref="R1:S1"/>
    <mergeCell ref="U1:V1"/>
  </mergeCells>
  <phoneticPr fontId="2" type="noConversion"/>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BC95-35E6-4195-97E0-FB1EE6A6FD09}">
  <sheetPr codeName="Sheet3"/>
  <dimension ref="T7:BS34"/>
  <sheetViews>
    <sheetView showGridLines="0" tabSelected="1" zoomScale="25" zoomScaleNormal="25" workbookViewId="0">
      <selection activeCell="BM31" sqref="BM31"/>
    </sheetView>
  </sheetViews>
  <sheetFormatPr defaultRowHeight="14.5" x14ac:dyDescent="0.35"/>
  <sheetData>
    <row r="7" spans="20:22" x14ac:dyDescent="0.35">
      <c r="T7" s="8"/>
      <c r="U7" s="8"/>
      <c r="V7" s="8"/>
    </row>
    <row r="8" spans="20:22" x14ac:dyDescent="0.35">
      <c r="T8" s="8"/>
      <c r="U8" s="8"/>
      <c r="V8" s="8"/>
    </row>
    <row r="9" spans="20:22" x14ac:dyDescent="0.35">
      <c r="T9" s="8"/>
      <c r="U9" s="8"/>
      <c r="V9" s="8"/>
    </row>
    <row r="10" spans="20:22" x14ac:dyDescent="0.35">
      <c r="T10" s="8"/>
      <c r="U10" s="8"/>
      <c r="V10" s="8"/>
    </row>
    <row r="11" spans="20:22" x14ac:dyDescent="0.35">
      <c r="T11" s="8"/>
      <c r="U11" s="8"/>
      <c r="V11" s="8"/>
    </row>
    <row r="12" spans="20:22" x14ac:dyDescent="0.35">
      <c r="T12" s="8"/>
      <c r="U12" s="8"/>
      <c r="V12" s="8"/>
    </row>
    <row r="13" spans="20:22" x14ac:dyDescent="0.35">
      <c r="T13" s="8"/>
      <c r="U13" s="8"/>
      <c r="V13" s="8"/>
    </row>
    <row r="14" spans="20:22" x14ac:dyDescent="0.35">
      <c r="T14" s="8"/>
      <c r="U14" s="8"/>
      <c r="V14" s="8"/>
    </row>
    <row r="15" spans="20:22" x14ac:dyDescent="0.35">
      <c r="T15" s="8"/>
      <c r="U15" s="8"/>
      <c r="V15" s="8"/>
    </row>
    <row r="27" spans="70:70" x14ac:dyDescent="0.35">
      <c r="BR27" t="s">
        <v>290</v>
      </c>
    </row>
    <row r="34" spans="71:71" x14ac:dyDescent="0.35">
      <c r="BS34"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CED890-5553-49F1-B7AA-53D9A00409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Sheet5</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Tops</dc:creator>
  <cp:lastModifiedBy>User</cp:lastModifiedBy>
  <dcterms:created xsi:type="dcterms:W3CDTF">2025-10-09T12:36:05Z</dcterms:created>
  <dcterms:modified xsi:type="dcterms:W3CDTF">2026-05-22T11:33:33Z</dcterms:modified>
</cp:coreProperties>
</file>