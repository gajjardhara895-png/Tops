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1FDD4584-D6A3-4C8F-9895-1EDA6A8DA141}" xr6:coauthVersionLast="47" xr6:coauthVersionMax="47" xr10:uidLastSave="{00000000-0000-0000-0000-000000000000}"/>
  <bookViews>
    <workbookView xWindow="-110" yWindow="-110" windowWidth="19420" windowHeight="10300" activeTab="1" xr2:uid="{00000000-000D-0000-FFFF-FFFF00000000}"/>
  </bookViews>
  <sheets>
    <sheet name="Sheet1" sheetId="3" r:id="rId1"/>
    <sheet name="Sheet2" sheetId="4" r:id="rId2"/>
    <sheet name="Raw_Data" sheetId="2" r:id="rId3"/>
  </sheets>
  <definedNames>
    <definedName name="_xlnm._FilterDatabase" localSheetId="2" hidden="1">Raw_Data!$A$1:$L$52</definedName>
    <definedName name="NativeTimeline_InvoiceDate">#N/A</definedName>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J3" i="2"/>
  <c r="K3" i="2"/>
  <c r="L3" i="2"/>
  <c r="I4" i="2"/>
  <c r="J4" i="2"/>
  <c r="K4" i="2"/>
  <c r="L4" i="2"/>
  <c r="I5" i="2"/>
  <c r="J5" i="2"/>
  <c r="K5" i="2"/>
  <c r="L5" i="2"/>
  <c r="I6" i="2"/>
  <c r="J6" i="2"/>
  <c r="K6" i="2"/>
  <c r="L6" i="2"/>
  <c r="I7" i="2"/>
  <c r="J7" i="2"/>
  <c r="K7" i="2"/>
  <c r="L7" i="2"/>
  <c r="I8" i="2"/>
  <c r="J8" i="2"/>
  <c r="K8" i="2"/>
  <c r="L8" i="2"/>
  <c r="I9" i="2"/>
  <c r="J9" i="2"/>
  <c r="K9" i="2"/>
  <c r="L9" i="2"/>
  <c r="I10" i="2"/>
  <c r="J10" i="2"/>
  <c r="K10" i="2"/>
  <c r="L10" i="2"/>
  <c r="I11" i="2"/>
  <c r="J11" i="2"/>
  <c r="K11" i="2"/>
  <c r="L11" i="2"/>
  <c r="I12" i="2"/>
  <c r="J12" i="2"/>
  <c r="K12" i="2"/>
  <c r="L12" i="2"/>
  <c r="I13" i="2"/>
  <c r="J13" i="2"/>
  <c r="K13" i="2"/>
  <c r="L13" i="2"/>
  <c r="I14" i="2"/>
  <c r="J14" i="2"/>
  <c r="K14" i="2"/>
  <c r="L14" i="2"/>
  <c r="I15" i="2"/>
  <c r="J15" i="2"/>
  <c r="K15" i="2"/>
  <c r="L15" i="2"/>
  <c r="I16" i="2"/>
  <c r="J16" i="2"/>
  <c r="K16" i="2"/>
  <c r="L16" i="2"/>
  <c r="I17" i="2"/>
  <c r="J17" i="2"/>
  <c r="K17" i="2"/>
  <c r="L17" i="2"/>
  <c r="I18" i="2"/>
  <c r="J18" i="2"/>
  <c r="K18" i="2"/>
  <c r="L18" i="2"/>
  <c r="I19" i="2"/>
  <c r="J19" i="2"/>
  <c r="K19" i="2"/>
  <c r="L19" i="2"/>
  <c r="I20" i="2"/>
  <c r="J20" i="2"/>
  <c r="K20" i="2"/>
  <c r="L20" i="2"/>
  <c r="I21" i="2"/>
  <c r="J21" i="2"/>
  <c r="K21" i="2"/>
  <c r="L21" i="2"/>
  <c r="I22" i="2"/>
  <c r="J22" i="2"/>
  <c r="K22" i="2"/>
  <c r="L22" i="2"/>
  <c r="I23" i="2"/>
  <c r="J23" i="2"/>
  <c r="K23" i="2"/>
  <c r="L23" i="2"/>
  <c r="I24" i="2"/>
  <c r="J24" i="2"/>
  <c r="K24" i="2"/>
  <c r="L24" i="2"/>
  <c r="I25" i="2"/>
  <c r="J25" i="2"/>
  <c r="K25" i="2"/>
  <c r="L25" i="2"/>
  <c r="I26" i="2"/>
  <c r="J26" i="2"/>
  <c r="K26" i="2"/>
  <c r="L26" i="2"/>
  <c r="I27" i="2"/>
  <c r="J27" i="2"/>
  <c r="K27" i="2"/>
  <c r="L27" i="2"/>
  <c r="I28" i="2"/>
  <c r="J28" i="2"/>
  <c r="K28" i="2"/>
  <c r="L28" i="2"/>
  <c r="I29" i="2"/>
  <c r="J29" i="2"/>
  <c r="K29" i="2"/>
  <c r="L29" i="2"/>
  <c r="I30" i="2"/>
  <c r="J30" i="2"/>
  <c r="K30" i="2"/>
  <c r="L30" i="2"/>
  <c r="I31" i="2"/>
  <c r="J31" i="2"/>
  <c r="K31" i="2"/>
  <c r="L31" i="2"/>
  <c r="I32" i="2"/>
  <c r="J32" i="2"/>
  <c r="K32" i="2"/>
  <c r="L32" i="2"/>
  <c r="I33" i="2"/>
  <c r="J33" i="2"/>
  <c r="K33" i="2"/>
  <c r="L33" i="2"/>
  <c r="I34" i="2"/>
  <c r="J34" i="2"/>
  <c r="K34" i="2"/>
  <c r="L34" i="2"/>
  <c r="I35" i="2"/>
  <c r="J35" i="2"/>
  <c r="K35" i="2"/>
  <c r="L35" i="2"/>
  <c r="I36" i="2"/>
  <c r="J36" i="2"/>
  <c r="K36" i="2"/>
  <c r="L36" i="2"/>
  <c r="I37" i="2"/>
  <c r="J37" i="2"/>
  <c r="K37" i="2"/>
  <c r="L37" i="2"/>
  <c r="I38" i="2"/>
  <c r="J38" i="2"/>
  <c r="K38" i="2"/>
  <c r="L38" i="2"/>
  <c r="I39" i="2"/>
  <c r="J39" i="2"/>
  <c r="K39" i="2"/>
  <c r="L39" i="2"/>
  <c r="I40" i="2"/>
  <c r="J40" i="2"/>
  <c r="K40" i="2"/>
  <c r="L40" i="2"/>
  <c r="I41" i="2"/>
  <c r="J41" i="2"/>
  <c r="K41" i="2"/>
  <c r="L41" i="2"/>
  <c r="I42" i="2"/>
  <c r="J42" i="2"/>
  <c r="K42" i="2"/>
  <c r="L42" i="2"/>
  <c r="I43" i="2"/>
  <c r="J43" i="2"/>
  <c r="K43" i="2"/>
  <c r="L43" i="2"/>
  <c r="I44" i="2"/>
  <c r="J44" i="2"/>
  <c r="K44" i="2"/>
  <c r="L44" i="2"/>
  <c r="I45" i="2"/>
  <c r="J45" i="2"/>
  <c r="K45" i="2"/>
  <c r="L45" i="2"/>
  <c r="I46" i="2"/>
  <c r="J46" i="2"/>
  <c r="K46" i="2"/>
  <c r="L46" i="2"/>
  <c r="I47" i="2"/>
  <c r="J47" i="2"/>
  <c r="K47" i="2"/>
  <c r="L47" i="2"/>
  <c r="I48" i="2"/>
  <c r="J48" i="2"/>
  <c r="K48" i="2"/>
  <c r="L48" i="2"/>
  <c r="I49" i="2"/>
  <c r="J49" i="2"/>
  <c r="K49" i="2"/>
  <c r="L49" i="2"/>
  <c r="I50" i="2"/>
  <c r="J50" i="2"/>
  <c r="K50" i="2"/>
  <c r="L50" i="2"/>
  <c r="I51" i="2"/>
  <c r="J51" i="2"/>
  <c r="K51" i="2"/>
  <c r="L51" i="2"/>
  <c r="I52" i="2"/>
  <c r="J52" i="2"/>
  <c r="K52" i="2"/>
  <c r="L52" i="2"/>
  <c r="L2" i="2"/>
  <c r="K2" i="2"/>
  <c r="J2" i="2"/>
  <c r="I2" i="2"/>
</calcChain>
</file>

<file path=xl/sharedStrings.xml><?xml version="1.0" encoding="utf-8"?>
<sst xmlns="http://schemas.openxmlformats.org/spreadsheetml/2006/main" count="173" uniqueCount="83">
  <si>
    <t>InvoiceNo</t>
  </si>
  <si>
    <t>StockCode</t>
  </si>
  <si>
    <t>Description</t>
  </si>
  <si>
    <t>Quantity</t>
  </si>
  <si>
    <t>InvoiceDate</t>
  </si>
  <si>
    <t>UnitPrice</t>
  </si>
  <si>
    <t>CustomerID</t>
  </si>
  <si>
    <t>Country</t>
  </si>
  <si>
    <t>Revenue</t>
  </si>
  <si>
    <t>Month</t>
  </si>
  <si>
    <t>Year</t>
  </si>
  <si>
    <t>Weekday</t>
  </si>
  <si>
    <t>85123A</t>
  </si>
  <si>
    <t>WHITE HANGING HEART T-LIGHT HOLDER</t>
  </si>
  <si>
    <t>United Kingdom</t>
  </si>
  <si>
    <t>WHITE METAL LANTERN</t>
  </si>
  <si>
    <t>84406B</t>
  </si>
  <si>
    <t>CREAM CUPID HEARTS COAT HANGER</t>
  </si>
  <si>
    <t>84029G</t>
  </si>
  <si>
    <t>KNITTED UNION FLAG HOT WATER BOTTLE</t>
  </si>
  <si>
    <t>France</t>
  </si>
  <si>
    <t>SET 7 BABUSHKA NESTING BOXES</t>
  </si>
  <si>
    <t>Germany</t>
  </si>
  <si>
    <t>GLASS STAR FROSTED T-LIGHT HOLDER</t>
  </si>
  <si>
    <t>Spain</t>
  </si>
  <si>
    <t>HAND WARMER UNION JACK</t>
  </si>
  <si>
    <t>HAND WARMER RED POLKA DOT</t>
  </si>
  <si>
    <t>Netherlands</t>
  </si>
  <si>
    <t>ASSORTED COLOUR BIRD ORNAMENT</t>
  </si>
  <si>
    <t>STRAWBERRY CERAMIC TRINKET BOX</t>
  </si>
  <si>
    <t>Australia</t>
  </si>
  <si>
    <t>LUNCH BAG SUKI DESIGN</t>
  </si>
  <si>
    <t>LUNCH BAG RED RETROSPOT</t>
  </si>
  <si>
    <t>LUNCH BAG SPACEBOY DESIGN</t>
  </si>
  <si>
    <t>LUNCH BAG PINK POLKADOT</t>
  </si>
  <si>
    <t>NATURAL SLATE HEART CHALKBOARD</t>
  </si>
  <si>
    <t>Italy</t>
  </si>
  <si>
    <t>PARTY BUNTING</t>
  </si>
  <si>
    <t>HOT WATER BOTTLE I AM SO POORLY</t>
  </si>
  <si>
    <t>Portugal</t>
  </si>
  <si>
    <t>HOT WATER BOTTLE BABUSHKA</t>
  </si>
  <si>
    <t>PAPER CHAIN KIT 50'S CHRISTMAS</t>
  </si>
  <si>
    <t>SMALL POPCORN HOLDER</t>
  </si>
  <si>
    <t>CHARLOTTE BAG SUKI DESIGN</t>
  </si>
  <si>
    <t>60 TEATIME FAIRY CAKE CASES</t>
  </si>
  <si>
    <t>85099B</t>
  </si>
  <si>
    <t>JUMBO BAG RED RETROSPOT</t>
  </si>
  <si>
    <t>85099F</t>
  </si>
  <si>
    <t>JUMBO BAG STRAWBERRY</t>
  </si>
  <si>
    <t>JUMBO STORAGE BAG SUKI</t>
  </si>
  <si>
    <t>JUMBO SHOPPER VINTAGE RED PAISLEY</t>
  </si>
  <si>
    <t>SPACEBOY LUNCH BOX</t>
  </si>
  <si>
    <t>DOLLY GIRL LUNCH BOX</t>
  </si>
  <si>
    <t>HOME BUILDING BLOCK WORD</t>
  </si>
  <si>
    <t>LOVE BUILDING BLOCK WORD</t>
  </si>
  <si>
    <t>ZINC WILLIE WINKIE CANDLE STICK</t>
  </si>
  <si>
    <t>6 RIBBONS RUSTIC CHARM</t>
  </si>
  <si>
    <t>ROUND SNACK BOXES SET OF 4 WOODLAND</t>
  </si>
  <si>
    <t>ROUND SNACK BOXES SET OF 4 FRUITS</t>
  </si>
  <si>
    <t>PACK OF 72 RETROSPOT CAKE CASES</t>
  </si>
  <si>
    <t>PACK OF 72 SKULL CAKE CASES</t>
  </si>
  <si>
    <t>VINTAGE HEADS AND TAILS CARD GAME</t>
  </si>
  <si>
    <t>VINTAGE SNAP CARDS</t>
  </si>
  <si>
    <t>PACK OF 60 PINK PAISLEY CAKE CASES</t>
  </si>
  <si>
    <t>PACK OF 60 DINOSAUR CAKE CASES</t>
  </si>
  <si>
    <t>SCOTTIE DOG HOT WATER BOTTLE</t>
  </si>
  <si>
    <t>CHOCOLATE HOT WATER BOTTLE</t>
  </si>
  <si>
    <t>GREY HEART HOT WATER BOTTLE</t>
  </si>
  <si>
    <t>REGENCY CAKESTAND 3 TIER</t>
  </si>
  <si>
    <t>ENAMEL BREAD BIN CREAM</t>
  </si>
  <si>
    <t>ENAMEL COLANDER CREAM</t>
  </si>
  <si>
    <t>ENAMEL WASH BOWL CREAM</t>
  </si>
  <si>
    <t>ENAMEL FLOWER JUG CREAM</t>
  </si>
  <si>
    <t>ENAMEL FIRE BUCKET CREAM</t>
  </si>
  <si>
    <t>ENAMEL MEASURING JUG CREAM</t>
  </si>
  <si>
    <t>ENAMEL WATERING CAN CREAM</t>
  </si>
  <si>
    <t>Row Labels</t>
  </si>
  <si>
    <t>Grand Total</t>
  </si>
  <si>
    <t>Sum of Revenue</t>
  </si>
  <si>
    <t>Wednesday</t>
  </si>
  <si>
    <t>Sum of UnitPrice</t>
  </si>
  <si>
    <t>Sum of Quantity</t>
  </si>
  <si>
    <t>Sum of InvoiceNo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</si>
</sst>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applyAlignment="1">
      <alignment horizontal="right"/>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6">
    <dxf>
      <numFmt numFmtId="27" formatCode="m/d/yyyy\ h:mm"/>
    </dxf>
    <dxf>
      <font>
        <b/>
        <i val="0"/>
        <strike val="0"/>
        <condense val="0"/>
        <extend val="0"/>
        <outline val="0"/>
        <shadow val="0"/>
        <u val="none"/>
        <vertAlign val="baseline"/>
        <sz val="11"/>
        <color theme="1"/>
        <name val="Calibri"/>
        <family val="2"/>
        <scheme val="minor"/>
      </font>
    </dxf>
    <dxf>
      <font>
        <b/>
        <i val="0"/>
        <sz val="16"/>
        <color theme="0"/>
        <name val="Calibri"/>
        <family val="2"/>
        <scheme val="minor"/>
      </font>
      <border>
        <vertical/>
        <horizontal/>
      </border>
    </dxf>
    <dxf>
      <font>
        <b/>
        <i val="0"/>
        <sz val="14"/>
        <color theme="0"/>
        <name val="Times New Roman"/>
        <family val="1"/>
        <scheme val="none"/>
      </font>
      <fill>
        <patternFill>
          <bgColor theme="1"/>
        </patternFill>
      </fill>
      <border>
        <left style="thin">
          <color theme="8"/>
        </left>
        <right style="thin">
          <color theme="8"/>
        </right>
        <top style="thin">
          <color theme="8"/>
        </top>
        <bottom style="thin">
          <color theme="8"/>
        </bottom>
        <vertical/>
        <horizontal/>
      </border>
    </dxf>
    <dxf>
      <font>
        <b/>
        <i val="0"/>
        <sz val="14"/>
        <color theme="0"/>
        <name val="Calibri"/>
        <family val="2"/>
        <scheme val="minor"/>
      </font>
      <fill>
        <patternFill>
          <bgColor theme="1"/>
        </patternFill>
      </fill>
      <border>
        <bottom style="thin">
          <color theme="8"/>
        </bottom>
        <vertical/>
        <horizontal/>
      </border>
    </dxf>
    <dxf>
      <font>
        <color theme="1"/>
      </font>
      <fill>
        <patternFill>
          <bgColor theme="1"/>
        </patternFill>
      </fill>
      <border>
        <left style="thin">
          <color theme="8"/>
        </left>
        <right style="thin">
          <color theme="8"/>
        </right>
        <top style="thin">
          <color theme="8"/>
        </top>
        <bottom style="thin">
          <color theme="8"/>
        </bottom>
        <vertical/>
        <horizontal/>
      </border>
    </dxf>
  </dxfs>
  <tableStyles count="2" defaultTableStyle="TableStyleMedium9" defaultPivotStyle="PivotStyleLight16">
    <tableStyle name="SlicerStyleLight5 2" pivot="0" table="0" count="10" xr9:uid="{1D14A08A-A540-41FE-963D-8364A7627F47}">
      <tableStyleElement type="wholeTable" dxfId="5"/>
      <tableStyleElement type="headerRow" dxfId="4"/>
    </tableStyle>
    <tableStyle name="TimeSlicerStyleLight5 2" pivot="0" table="0" count="9" xr9:uid="{CDCBCA0E-6800-4E67-994B-BF06A633F270}">
      <tableStyleElement type="wholeTable" dxfId="3"/>
      <tableStyleElement type="headerRow" dxfId="2"/>
    </tableStyle>
  </tableStyles>
  <colors>
    <mruColors>
      <color rgb="FF5BEFEF"/>
      <color rgb="FFFF3399"/>
      <color rgb="FF19C3FF"/>
    </mruColors>
  </colors>
  <extLst>
    <ext xmlns:x14="http://schemas.microsoft.com/office/spreadsheetml/2009/9/main" uri="{46F421CA-312F-682f-3DD2-61675219B42D}">
      <x14:dxfs count="8">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patternFill patternType="solid">
              <fgColor auto="1"/>
              <bgColor theme="0"/>
            </patternFill>
          </fill>
          <border>
            <vertical/>
            <horizontal/>
          </border>
        </dxf>
        <dxf>
          <fill>
            <gradientFill degree="90">
              <stop position="0">
                <color theme="8" tint="0.59999389629810485"/>
              </stop>
              <stop position="1">
                <color theme="8"/>
              </stop>
            </gradientFill>
          </fill>
          <border>
            <vertical/>
            <horizontal/>
          </border>
        </dxf>
        <dxf>
          <font>
            <sz val="9"/>
            <color theme="0"/>
          </font>
          <border>
            <left/>
            <right/>
            <top/>
            <bottom/>
            <vertical/>
            <horizontal/>
          </border>
        </dxf>
        <dxf>
          <font>
            <sz val="9"/>
            <color theme="0"/>
          </font>
          <border>
            <left/>
            <right/>
            <top/>
            <bottom/>
            <vertical/>
            <horizontal/>
          </border>
        </dxf>
        <dxf>
          <font>
            <sz val="9"/>
            <color theme="1" tint="0.499984740745262"/>
          </font>
          <border>
            <left/>
            <right/>
            <top/>
            <bottom/>
            <vertical/>
            <horizontal/>
          </border>
        </dxf>
        <dxf>
          <font>
            <b/>
            <i val="0"/>
            <sz val="12"/>
            <color rgb="FF5BEFEF"/>
            <name val="Calibri"/>
            <family val="2"/>
            <scheme val="minor"/>
          </font>
          <border>
            <left/>
            <right/>
            <top/>
            <bottom/>
            <vertical/>
            <horizontal/>
          </border>
        </dxf>
      </x15:dxfs>
    </ext>
    <ext xmlns:x15="http://schemas.microsoft.com/office/spreadsheetml/2010/11/main" uri="{9260A510-F301-46a8-8635-F512D64BE5F5}">
      <x15:timelineStyles defaultTimelineStyle="TimeSlicerStyleLight5">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[Ecommerce_Sales_Analysis_Template.xlsx]Sheet1!PivotTable3</c:name>
    <c:fmtId val="0"/>
  </c:pivotSource>
  <c:chart>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Sheet1!$B$67</c:f>
              <c:strCache>
                <c:ptCount val="1"/>
                <c:pt idx="0">
                  <c:v>Sum of UnitPrice</c:v>
                </c:pt>
              </c:strCache>
            </c:strRef>
          </c:tx>
          <c:spPr>
            <a:ln w="28575" cap="rnd">
              <a:solidFill>
                <a:srgbClr val="00B0F0"/>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Sheet1!$B$68:$B$119</c:f>
              <c:numCache>
                <c:formatCode>General</c:formatCode>
                <c:ptCount val="51"/>
                <c:pt idx="0">
                  <c:v>1.65</c:v>
                </c:pt>
                <c:pt idx="1">
                  <c:v>0.55000000000000004</c:v>
                </c:pt>
                <c:pt idx="2">
                  <c:v>0.55000000000000004</c:v>
                </c:pt>
                <c:pt idx="3">
                  <c:v>1.25</c:v>
                </c:pt>
                <c:pt idx="4">
                  <c:v>4.25</c:v>
                </c:pt>
                <c:pt idx="5">
                  <c:v>5.95</c:v>
                </c:pt>
                <c:pt idx="6">
                  <c:v>5.95</c:v>
                </c:pt>
                <c:pt idx="7">
                  <c:v>1.25</c:v>
                </c:pt>
                <c:pt idx="8">
                  <c:v>1.25</c:v>
                </c:pt>
                <c:pt idx="9">
                  <c:v>1.95</c:v>
                </c:pt>
                <c:pt idx="10">
                  <c:v>0.55000000000000004</c:v>
                </c:pt>
                <c:pt idx="11">
                  <c:v>0.55000000000000004</c:v>
                </c:pt>
                <c:pt idx="12">
                  <c:v>1.65</c:v>
                </c:pt>
                <c:pt idx="13">
                  <c:v>2.95</c:v>
                </c:pt>
                <c:pt idx="14">
                  <c:v>4.95</c:v>
                </c:pt>
                <c:pt idx="15">
                  <c:v>4.95</c:v>
                </c:pt>
                <c:pt idx="16">
                  <c:v>4.95</c:v>
                </c:pt>
                <c:pt idx="17">
                  <c:v>0.85</c:v>
                </c:pt>
                <c:pt idx="18">
                  <c:v>2.95</c:v>
                </c:pt>
                <c:pt idx="19">
                  <c:v>2.95</c:v>
                </c:pt>
                <c:pt idx="20">
                  <c:v>0.85</c:v>
                </c:pt>
                <c:pt idx="21">
                  <c:v>1.65</c:v>
                </c:pt>
                <c:pt idx="22">
                  <c:v>1.65</c:v>
                </c:pt>
                <c:pt idx="23">
                  <c:v>1.65</c:v>
                </c:pt>
                <c:pt idx="24">
                  <c:v>1.95</c:v>
                </c:pt>
                <c:pt idx="25">
                  <c:v>12.75</c:v>
                </c:pt>
                <c:pt idx="26">
                  <c:v>14.95</c:v>
                </c:pt>
                <c:pt idx="27">
                  <c:v>4.95</c:v>
                </c:pt>
                <c:pt idx="28">
                  <c:v>7.95</c:v>
                </c:pt>
                <c:pt idx="29">
                  <c:v>5.95</c:v>
                </c:pt>
                <c:pt idx="30">
                  <c:v>9.9499999999999993</c:v>
                </c:pt>
                <c:pt idx="31">
                  <c:v>4.25</c:v>
                </c:pt>
                <c:pt idx="32">
                  <c:v>12.95</c:v>
                </c:pt>
                <c:pt idx="33">
                  <c:v>2.95</c:v>
                </c:pt>
                <c:pt idx="34">
                  <c:v>1.95</c:v>
                </c:pt>
                <c:pt idx="35">
                  <c:v>1.95</c:v>
                </c:pt>
                <c:pt idx="36">
                  <c:v>1.85</c:v>
                </c:pt>
                <c:pt idx="37">
                  <c:v>1.85</c:v>
                </c:pt>
                <c:pt idx="38">
                  <c:v>7.65</c:v>
                </c:pt>
                <c:pt idx="39">
                  <c:v>4.6500000000000004</c:v>
                </c:pt>
                <c:pt idx="40">
                  <c:v>4.95</c:v>
                </c:pt>
                <c:pt idx="41">
                  <c:v>4.95</c:v>
                </c:pt>
                <c:pt idx="42">
                  <c:v>3.39</c:v>
                </c:pt>
                <c:pt idx="43">
                  <c:v>0.85</c:v>
                </c:pt>
                <c:pt idx="44">
                  <c:v>1.69</c:v>
                </c:pt>
                <c:pt idx="45">
                  <c:v>0.55000000000000004</c:v>
                </c:pt>
                <c:pt idx="46">
                  <c:v>3.39</c:v>
                </c:pt>
                <c:pt idx="47">
                  <c:v>2.75</c:v>
                </c:pt>
                <c:pt idx="48">
                  <c:v>1.95</c:v>
                </c:pt>
                <c:pt idx="49">
                  <c:v>1.95</c:v>
                </c:pt>
                <c:pt idx="50">
                  <c:v>2.5499999999999998</c:v>
                </c:pt>
              </c:numCache>
            </c:numRef>
          </c:val>
          <c:smooth val="0"/>
          <c:extLst>
            <c:ext xmlns:c16="http://schemas.microsoft.com/office/drawing/2014/chart" uri="{C3380CC4-5D6E-409C-BE32-E72D297353CC}">
              <c16:uniqueId val="{00000000-3795-43B9-A350-DD5C46542AF3}"/>
            </c:ext>
          </c:extLst>
        </c:ser>
        <c:ser>
          <c:idx val="1"/>
          <c:order val="1"/>
          <c:tx>
            <c:strRef>
              <c:f>Sheet1!$C$67</c:f>
              <c:strCache>
                <c:ptCount val="1"/>
                <c:pt idx="0">
                  <c:v>Sum of Quantity</c:v>
                </c:pt>
              </c:strCache>
            </c:strRef>
          </c:tx>
          <c:spPr>
            <a:ln w="28575" cap="rnd">
              <a:solidFill>
                <a:schemeClr val="accent5">
                  <a:lumMod val="50000"/>
                </a:schemeClr>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Sheet1!$C$68:$C$119</c:f>
              <c:numCache>
                <c:formatCode>General</c:formatCode>
                <c:ptCount val="51"/>
                <c:pt idx="0">
                  <c:v>15</c:v>
                </c:pt>
                <c:pt idx="1">
                  <c:v>24</c:v>
                </c:pt>
                <c:pt idx="2">
                  <c:v>20</c:v>
                </c:pt>
                <c:pt idx="3">
                  <c:v>12</c:v>
                </c:pt>
                <c:pt idx="4">
                  <c:v>12</c:v>
                </c:pt>
                <c:pt idx="5">
                  <c:v>6</c:v>
                </c:pt>
                <c:pt idx="6">
                  <c:v>8</c:v>
                </c:pt>
                <c:pt idx="7">
                  <c:v>12</c:v>
                </c:pt>
                <c:pt idx="8">
                  <c:v>10</c:v>
                </c:pt>
                <c:pt idx="9">
                  <c:v>12</c:v>
                </c:pt>
                <c:pt idx="10">
                  <c:v>24</c:v>
                </c:pt>
                <c:pt idx="11">
                  <c:v>24</c:v>
                </c:pt>
                <c:pt idx="12">
                  <c:v>10</c:v>
                </c:pt>
                <c:pt idx="13">
                  <c:v>12</c:v>
                </c:pt>
                <c:pt idx="14">
                  <c:v>5</c:v>
                </c:pt>
                <c:pt idx="15">
                  <c:v>6</c:v>
                </c:pt>
                <c:pt idx="16">
                  <c:v>5</c:v>
                </c:pt>
                <c:pt idx="17">
                  <c:v>24</c:v>
                </c:pt>
                <c:pt idx="18">
                  <c:v>6</c:v>
                </c:pt>
                <c:pt idx="19">
                  <c:v>8</c:v>
                </c:pt>
                <c:pt idx="20">
                  <c:v>20</c:v>
                </c:pt>
                <c:pt idx="21">
                  <c:v>18</c:v>
                </c:pt>
                <c:pt idx="22">
                  <c:v>20</c:v>
                </c:pt>
                <c:pt idx="23">
                  <c:v>10</c:v>
                </c:pt>
                <c:pt idx="24">
                  <c:v>10</c:v>
                </c:pt>
                <c:pt idx="25">
                  <c:v>3</c:v>
                </c:pt>
                <c:pt idx="26">
                  <c:v>2</c:v>
                </c:pt>
                <c:pt idx="27">
                  <c:v>4</c:v>
                </c:pt>
                <c:pt idx="28">
                  <c:v>3</c:v>
                </c:pt>
                <c:pt idx="29">
                  <c:v>5</c:v>
                </c:pt>
                <c:pt idx="30">
                  <c:v>2</c:v>
                </c:pt>
                <c:pt idx="31">
                  <c:v>6</c:v>
                </c:pt>
                <c:pt idx="32">
                  <c:v>2</c:v>
                </c:pt>
                <c:pt idx="33">
                  <c:v>5</c:v>
                </c:pt>
                <c:pt idx="34">
                  <c:v>15</c:v>
                </c:pt>
                <c:pt idx="35">
                  <c:v>12</c:v>
                </c:pt>
                <c:pt idx="36">
                  <c:v>8</c:v>
                </c:pt>
                <c:pt idx="37">
                  <c:v>10</c:v>
                </c:pt>
                <c:pt idx="38">
                  <c:v>2</c:v>
                </c:pt>
                <c:pt idx="39">
                  <c:v>6</c:v>
                </c:pt>
                <c:pt idx="40">
                  <c:v>5</c:v>
                </c:pt>
                <c:pt idx="41">
                  <c:v>4</c:v>
                </c:pt>
                <c:pt idx="42">
                  <c:v>6</c:v>
                </c:pt>
                <c:pt idx="43">
                  <c:v>12</c:v>
                </c:pt>
                <c:pt idx="44">
                  <c:v>16</c:v>
                </c:pt>
                <c:pt idx="45">
                  <c:v>36</c:v>
                </c:pt>
                <c:pt idx="46">
                  <c:v>6</c:v>
                </c:pt>
                <c:pt idx="47">
                  <c:v>8</c:v>
                </c:pt>
                <c:pt idx="48">
                  <c:v>10</c:v>
                </c:pt>
                <c:pt idx="49">
                  <c:v>8</c:v>
                </c:pt>
                <c:pt idx="50">
                  <c:v>6</c:v>
                </c:pt>
              </c:numCache>
            </c:numRef>
          </c:val>
          <c:smooth val="0"/>
          <c:extLst>
            <c:ext xmlns:c16="http://schemas.microsoft.com/office/drawing/2014/chart" uri="{C3380CC4-5D6E-409C-BE32-E72D297353CC}">
              <c16:uniqueId val="{00000001-3795-43B9-A350-DD5C46542AF3}"/>
            </c:ext>
          </c:extLst>
        </c:ser>
        <c:ser>
          <c:idx val="2"/>
          <c:order val="2"/>
          <c:tx>
            <c:strRef>
              <c:f>Sheet1!$D$67</c:f>
              <c:strCache>
                <c:ptCount val="1"/>
                <c:pt idx="0">
                  <c:v>Sum of Revenue</c:v>
                </c:pt>
              </c:strCache>
            </c:strRef>
          </c:tx>
          <c:spPr>
            <a:ln w="28575" cap="rnd">
              <a:solidFill>
                <a:schemeClr val="accent1"/>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Sheet1!$D$68:$D$119</c:f>
              <c:numCache>
                <c:formatCode>General</c:formatCode>
                <c:ptCount val="51"/>
                <c:pt idx="0">
                  <c:v>24.75</c:v>
                </c:pt>
                <c:pt idx="1">
                  <c:v>13.200000000000001</c:v>
                </c:pt>
                <c:pt idx="2">
                  <c:v>11</c:v>
                </c:pt>
                <c:pt idx="3">
                  <c:v>15</c:v>
                </c:pt>
                <c:pt idx="4">
                  <c:v>51</c:v>
                </c:pt>
                <c:pt idx="5">
                  <c:v>35.700000000000003</c:v>
                </c:pt>
                <c:pt idx="6">
                  <c:v>47.6</c:v>
                </c:pt>
                <c:pt idx="7">
                  <c:v>15</c:v>
                </c:pt>
                <c:pt idx="8">
                  <c:v>12.5</c:v>
                </c:pt>
                <c:pt idx="9">
                  <c:v>23.4</c:v>
                </c:pt>
                <c:pt idx="10">
                  <c:v>13.200000000000001</c:v>
                </c:pt>
                <c:pt idx="11">
                  <c:v>13.200000000000001</c:v>
                </c:pt>
                <c:pt idx="12">
                  <c:v>16.5</c:v>
                </c:pt>
                <c:pt idx="13">
                  <c:v>35.400000000000006</c:v>
                </c:pt>
                <c:pt idx="14">
                  <c:v>24.75</c:v>
                </c:pt>
                <c:pt idx="15">
                  <c:v>29.700000000000003</c:v>
                </c:pt>
                <c:pt idx="16">
                  <c:v>24.75</c:v>
                </c:pt>
                <c:pt idx="17">
                  <c:v>20.399999999999999</c:v>
                </c:pt>
                <c:pt idx="18">
                  <c:v>17.700000000000003</c:v>
                </c:pt>
                <c:pt idx="19">
                  <c:v>23.6</c:v>
                </c:pt>
                <c:pt idx="20">
                  <c:v>17</c:v>
                </c:pt>
                <c:pt idx="21">
                  <c:v>29.7</c:v>
                </c:pt>
                <c:pt idx="22">
                  <c:v>33</c:v>
                </c:pt>
                <c:pt idx="23">
                  <c:v>16.5</c:v>
                </c:pt>
                <c:pt idx="24">
                  <c:v>19.5</c:v>
                </c:pt>
                <c:pt idx="25">
                  <c:v>38.25</c:v>
                </c:pt>
                <c:pt idx="26">
                  <c:v>29.9</c:v>
                </c:pt>
                <c:pt idx="27">
                  <c:v>19.8</c:v>
                </c:pt>
                <c:pt idx="28">
                  <c:v>23.85</c:v>
                </c:pt>
                <c:pt idx="29">
                  <c:v>29.75</c:v>
                </c:pt>
                <c:pt idx="30">
                  <c:v>19.899999999999999</c:v>
                </c:pt>
                <c:pt idx="31">
                  <c:v>25.5</c:v>
                </c:pt>
                <c:pt idx="32">
                  <c:v>25.9</c:v>
                </c:pt>
                <c:pt idx="33">
                  <c:v>14.75</c:v>
                </c:pt>
                <c:pt idx="34">
                  <c:v>29.25</c:v>
                </c:pt>
                <c:pt idx="35">
                  <c:v>23.4</c:v>
                </c:pt>
                <c:pt idx="36">
                  <c:v>14.8</c:v>
                </c:pt>
                <c:pt idx="37">
                  <c:v>18.5</c:v>
                </c:pt>
                <c:pt idx="38">
                  <c:v>15.3</c:v>
                </c:pt>
                <c:pt idx="39">
                  <c:v>27.900000000000002</c:v>
                </c:pt>
                <c:pt idx="40">
                  <c:v>24.75</c:v>
                </c:pt>
                <c:pt idx="41">
                  <c:v>19.8</c:v>
                </c:pt>
                <c:pt idx="42">
                  <c:v>20.34</c:v>
                </c:pt>
                <c:pt idx="43">
                  <c:v>10.199999999999999</c:v>
                </c:pt>
                <c:pt idx="44">
                  <c:v>27.04</c:v>
                </c:pt>
                <c:pt idx="45">
                  <c:v>19.8</c:v>
                </c:pt>
                <c:pt idx="46">
                  <c:v>20.34</c:v>
                </c:pt>
                <c:pt idx="47">
                  <c:v>22</c:v>
                </c:pt>
                <c:pt idx="48">
                  <c:v>19.5</c:v>
                </c:pt>
                <c:pt idx="49">
                  <c:v>15.6</c:v>
                </c:pt>
                <c:pt idx="50">
                  <c:v>15.299999999999999</c:v>
                </c:pt>
              </c:numCache>
            </c:numRef>
          </c:val>
          <c:smooth val="0"/>
          <c:extLst>
            <c:ext xmlns:c16="http://schemas.microsoft.com/office/drawing/2014/chart" uri="{C3380CC4-5D6E-409C-BE32-E72D297353CC}">
              <c16:uniqueId val="{00000002-3795-43B9-A350-DD5C46542AF3}"/>
            </c:ext>
          </c:extLst>
        </c:ser>
        <c:dLbls>
          <c:showLegendKey val="0"/>
          <c:showVal val="0"/>
          <c:showCatName val="0"/>
          <c:showSerName val="0"/>
          <c:showPercent val="0"/>
          <c:showBubbleSize val="0"/>
        </c:dLbls>
        <c:smooth val="0"/>
        <c:axId val="76520319"/>
        <c:axId val="1964275679"/>
      </c:lineChart>
      <c:catAx>
        <c:axId val="7652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75679"/>
        <c:crosses val="autoZero"/>
        <c:auto val="1"/>
        <c:lblAlgn val="ctr"/>
        <c:lblOffset val="100"/>
        <c:noMultiLvlLbl val="0"/>
      </c:catAx>
      <c:valAx>
        <c:axId val="1964275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03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[Ecommerce_Sales_Analysis_Template.xlsx]Sheet1!PivotTable9</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1.4084617943883724E-2"/>
              <c:y val="-0.30555555555555558"/>
            </c:manualLayout>
          </c:layout>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8439614062325"/>
                  <c:h val="0.15733814523184603"/>
                </c:manualLayout>
              </c15:layout>
            </c:ext>
          </c:extLst>
        </c:dLbl>
      </c:pivotFmt>
    </c:pivotFmts>
    <c:plotArea>
      <c:layout>
        <c:manualLayout>
          <c:layoutTarget val="inner"/>
          <c:xMode val="edge"/>
          <c:yMode val="edge"/>
          <c:x val="0.28916491072418765"/>
          <c:y val="0.19927456984543598"/>
          <c:w val="0.51721193301541535"/>
          <c:h val="0.80072543015456399"/>
        </c:manualLayout>
      </c:layout>
      <c:doughnutChart>
        <c:varyColors val="1"/>
        <c:ser>
          <c:idx val="0"/>
          <c:order val="0"/>
          <c:tx>
            <c:strRef>
              <c:f>Sheet1!$B$36</c:f>
              <c:strCache>
                <c:ptCount val="1"/>
                <c:pt idx="0">
                  <c:v>Total</c:v>
                </c:pt>
              </c:strCache>
            </c:strRef>
          </c:tx>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extLst>
              <c:ext xmlns:c16="http://schemas.microsoft.com/office/drawing/2014/chart" uri="{C3380CC4-5D6E-409C-BE32-E72D297353CC}">
                <c16:uniqueId val="{0000000C-6967-4688-BFBF-AAD3E7CF284E}"/>
              </c:ext>
            </c:extLst>
          </c:dPt>
          <c:dLbls>
            <c:dLbl>
              <c:idx val="0"/>
              <c:layout>
                <c:manualLayout>
                  <c:x val="1.4084617943883724E-2"/>
                  <c:y val="-0.30555555555555558"/>
                </c:manualLayout>
              </c:layout>
              <c:showLegendKey val="0"/>
              <c:showVal val="1"/>
              <c:showCatName val="0"/>
              <c:showSerName val="0"/>
              <c:showPercent val="0"/>
              <c:showBubbleSize val="0"/>
              <c:extLst>
                <c:ext xmlns:c15="http://schemas.microsoft.com/office/drawing/2012/chart" uri="{CE6537A1-D6FC-4f65-9D91-7224C49458BB}">
                  <c15:layout>
                    <c:manualLayout>
                      <c:w val="0.15708439614062325"/>
                      <c:h val="0.15733814523184603"/>
                    </c:manualLayout>
                  </c15:layout>
                </c:ext>
                <c:ext xmlns:c16="http://schemas.microsoft.com/office/drawing/2014/chart" uri="{C3380CC4-5D6E-409C-BE32-E72D297353CC}">
                  <c16:uniqueId val="{0000000C-6967-4688-BFBF-AAD3E7CF284E}"/>
                </c:ext>
              </c:extLst>
            </c:dLbl>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Sheet1!$A$37:$A$38</c:f>
              <c:strCache>
                <c:ptCount val="1"/>
                <c:pt idx="0">
                  <c:v>12</c:v>
                </c:pt>
              </c:strCache>
            </c:strRef>
          </c:cat>
          <c:val>
            <c:numRef>
              <c:f>Sheet1!$B$37:$B$38</c:f>
              <c:numCache>
                <c:formatCode>0.00%</c:formatCode>
                <c:ptCount val="1"/>
                <c:pt idx="0">
                  <c:v>1</c:v>
                </c:pt>
              </c:numCache>
            </c:numRef>
          </c:val>
          <c:extLst>
            <c:ext xmlns:c16="http://schemas.microsoft.com/office/drawing/2014/chart" uri="{C3380CC4-5D6E-409C-BE32-E72D297353CC}">
              <c16:uniqueId val="{00000009-6967-4688-BFBF-AAD3E7CF284E}"/>
            </c:ext>
          </c:extLst>
        </c:ser>
        <c:dLbls>
          <c:showLegendKey val="0"/>
          <c:showVal val="1"/>
          <c:showCatName val="0"/>
          <c:showSerName val="0"/>
          <c:showPercent val="0"/>
          <c:showBubbleSize val="0"/>
          <c:showLeaderLines val="1"/>
        </c:dLbls>
        <c:firstSliceAng val="0"/>
        <c:holeSize val="70"/>
      </c:doughnutChart>
      <c:spPr>
        <a:solidFill>
          <a:schemeClr val="tx1">
            <a:alpha val="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150110375275938E-3"/>
              <c:y val="-0.379629447360746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575D546-095E-46BC-B936-C2FFE9C9CDD6}" type="PERCENTAGE">
                  <a:rPr lang="en-US" sz="1800">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799134379725713"/>
                  <c:h val="0.21736111111111106"/>
                </c:manualLayout>
              </c15:layout>
              <c15:dlblFieldTable/>
              <c15:showDataLabelsRange val="0"/>
            </c:ext>
          </c:extLst>
        </c:dLbl>
      </c:pivotFmt>
    </c:pivotFmts>
    <c:plotArea>
      <c:layout/>
      <c:doughnutChart>
        <c:varyColors val="1"/>
        <c:ser>
          <c:idx val="0"/>
          <c:order val="0"/>
          <c:tx>
            <c:strRef>
              <c:f>Sheet1!$B$46</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4965-4E19-B744-AFC45EEB4D54}"/>
              </c:ext>
            </c:extLst>
          </c:dPt>
          <c:dLbls>
            <c:dLbl>
              <c:idx val="0"/>
              <c:layout>
                <c:manualLayout>
                  <c:x val="-4.4150110375275938E-3"/>
                  <c:y val="-0.37962944736074655"/>
                </c:manualLayout>
              </c:layout>
              <c:tx>
                <c:rich>
                  <a:bodyPr/>
                  <a:lstStyle/>
                  <a:p>
                    <a:fld id="{F575D546-095E-46BC-B936-C2FFE9C9CDD6}" type="PERCENTAGE">
                      <a:rPr lang="en-US" sz="1800">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layout>
                    <c:manualLayout>
                      <c:w val="0.21799134379725713"/>
                      <c:h val="0.21736111111111106"/>
                    </c:manualLayout>
                  </c15:layout>
                  <c15:dlblFieldTable/>
                  <c15:showDataLabelsRange val="0"/>
                </c:ext>
                <c:ext xmlns:c16="http://schemas.microsoft.com/office/drawing/2014/chart" uri="{C3380CC4-5D6E-409C-BE32-E72D297353CC}">
                  <c16:uniqueId val="{00000018-4965-4E19-B744-AFC45EEB4D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Sheet1!$A$47:$A$48</c:f>
              <c:strCache>
                <c:ptCount val="1"/>
                <c:pt idx="0">
                  <c:v>2010</c:v>
                </c:pt>
              </c:strCache>
            </c:strRef>
          </c:cat>
          <c:val>
            <c:numRef>
              <c:f>Sheet1!$B$47:$B$48</c:f>
              <c:numCache>
                <c:formatCode>General</c:formatCode>
                <c:ptCount val="1"/>
                <c:pt idx="0">
                  <c:v>185.16999999999996</c:v>
                </c:pt>
              </c:numCache>
            </c:numRef>
          </c:val>
          <c:extLst>
            <c:ext xmlns:c16="http://schemas.microsoft.com/office/drawing/2014/chart" uri="{C3380CC4-5D6E-409C-BE32-E72D297353CC}">
              <c16:uniqueId val="{00000000-4965-4E19-B744-AFC45EEB4D54}"/>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[Ecommerce_Sales_Analysis_Template.xlsx]Sheet1!PivotTable15</c:name>
    <c:fmtId val="2"/>
  </c:pivotSource>
  <c:chart>
    <c:autoTitleDeleted val="1"/>
    <c:pivotFmts>
      <c:pivotFmt>
        <c:idx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2222222222222223E-2"/>
              <c:y val="-0.41898166375036455"/>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2C73F4E9-1266-45E1-9B48-ED6A9CC28E0E}" type="PERCENTAGE">
                  <a:rPr lang="en-US" sz="160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399999999999997"/>
                  <c:h val="0.32863444152814225"/>
                </c:manualLayout>
              </c15:layout>
              <c15:dlblFieldTable/>
              <c15:showDataLabelsRange val="0"/>
            </c:ext>
          </c:extLst>
        </c:dLbl>
      </c:pivotFmt>
      <c:pivotFmt>
        <c:idx val="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pivotFmt>
    </c:pivotFmts>
    <c:plotArea>
      <c:layout>
        <c:manualLayout>
          <c:layoutTarget val="inner"/>
          <c:xMode val="edge"/>
          <c:yMode val="edge"/>
          <c:x val="0.26527777777777778"/>
          <c:y val="0.13657407407407407"/>
          <c:w val="0.46388888888888891"/>
          <c:h val="0.77314814814814814"/>
        </c:manualLayout>
      </c:layout>
      <c:doughnutChart>
        <c:varyColors val="1"/>
        <c:ser>
          <c:idx val="0"/>
          <c:order val="0"/>
          <c:tx>
            <c:strRef>
              <c:f>Sheet1!$A$1</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extLst>
              <c:ext xmlns:c16="http://schemas.microsoft.com/office/drawing/2014/chart" uri="{C3380CC4-5D6E-409C-BE32-E72D297353CC}">
                <c16:uniqueId val="{00000002-18F9-41BF-B789-16CCFE99CB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Sheet1!$A$2</c:f>
              <c:strCache>
                <c:ptCount val="1"/>
                <c:pt idx="0">
                  <c:v>Total</c:v>
                </c:pt>
              </c:strCache>
            </c:strRef>
          </c:cat>
          <c:val>
            <c:numRef>
              <c:f>Sheet1!$A$2</c:f>
              <c:numCache>
                <c:formatCode>General</c:formatCode>
                <c:ptCount val="1"/>
                <c:pt idx="0">
                  <c:v>185.16999999999996</c:v>
                </c:pt>
              </c:numCache>
            </c:numRef>
          </c:val>
          <c:extLst>
            <c:ext xmlns:c16="http://schemas.microsoft.com/office/drawing/2014/chart" uri="{C3380CC4-5D6E-409C-BE32-E72D297353CC}">
              <c16:uniqueId val="{00000000-18F9-41BF-B789-16CCFE99CB3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[Ecommerce_Sales_Analysis_Template.xlsx]Sheet1!PivotTable16</c:name>
    <c:fmtId val="3"/>
  </c:pivotSource>
  <c:chart>
    <c:autoTitleDeleted val="1"/>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s>
    <c:plotArea>
      <c:layout/>
      <c:doughnutChart>
        <c:varyColors val="1"/>
        <c:ser>
          <c:idx val="0"/>
          <c:order val="0"/>
          <c:tx>
            <c:strRef>
              <c:f>Sheet1!$B$7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9ED-4725-83D9-694F9BA7C72F}"/>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9ED-4725-83D9-694F9BA7C72F}"/>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9ED-4725-83D9-694F9BA7C72F}"/>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89ED-4725-83D9-694F9BA7C72F}"/>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89ED-4725-83D9-694F9BA7C72F}"/>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89ED-4725-83D9-694F9BA7C72F}"/>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89ED-4725-83D9-694F9BA7C72F}"/>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89ED-4725-83D9-694F9BA7C7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Sheet1!$A$8:$A$16</c:f>
              <c:strCache>
                <c:ptCount val="8"/>
                <c:pt idx="0">
                  <c:v>Australia</c:v>
                </c:pt>
                <c:pt idx="1">
                  <c:v>France</c:v>
                </c:pt>
                <c:pt idx="2">
                  <c:v>Germany</c:v>
                </c:pt>
                <c:pt idx="3">
                  <c:v>Italy</c:v>
                </c:pt>
                <c:pt idx="4">
                  <c:v>Netherlands</c:v>
                </c:pt>
                <c:pt idx="5">
                  <c:v>Portugal</c:v>
                </c:pt>
                <c:pt idx="6">
                  <c:v>Spain</c:v>
                </c:pt>
                <c:pt idx="7">
                  <c:v>United Kingdom</c:v>
                </c:pt>
              </c:strCache>
            </c:strRef>
          </c:cat>
          <c:val>
            <c:numRef>
              <c:f>Sheet1!$B$8:$B$16</c:f>
              <c:numCache>
                <c:formatCode>0.00%</c:formatCode>
                <c:ptCount val="8"/>
                <c:pt idx="0">
                  <c:v>7.8431662124065646E-2</c:v>
                </c:pt>
                <c:pt idx="1">
                  <c:v>0.15686317802706845</c:v>
                </c:pt>
                <c:pt idx="2">
                  <c:v>0.11764723729923848</c:v>
                </c:pt>
                <c:pt idx="3">
                  <c:v>3.9215794506767113E-2</c:v>
                </c:pt>
                <c:pt idx="4">
                  <c:v>3.9215282733047127E-2</c:v>
                </c:pt>
                <c:pt idx="5">
                  <c:v>3.9215940727829961E-2</c:v>
                </c:pt>
                <c:pt idx="6">
                  <c:v>3.9215136511984279E-2</c:v>
                </c:pt>
                <c:pt idx="7">
                  <c:v>0.49019576806999893</c:v>
                </c:pt>
              </c:numCache>
            </c:numRef>
          </c:val>
          <c:extLst>
            <c:ext xmlns:c16="http://schemas.microsoft.com/office/drawing/2014/chart" uri="{C3380CC4-5D6E-409C-BE32-E72D297353CC}">
              <c16:uniqueId val="{00000000-0189-4A51-823F-A3DB88ECD2E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[Ecommerce_Sales_Analysis_Template.xlsx]Sheet1!PivotTable17</c:name>
    <c:fmtId val="14"/>
  </c:pivotSource>
  <c:chart>
    <c:autoTitleDeleted val="1"/>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s>
    <c:plotArea>
      <c:layout/>
      <c:pieChart>
        <c:varyColors val="1"/>
        <c:ser>
          <c:idx val="0"/>
          <c:order val="0"/>
          <c:tx>
            <c:strRef>
              <c:f>Sheet1!$B$20</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6CF4-46BD-B3E3-F9072265A7A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6CF4-46BD-B3E3-F9072265A7A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6CF4-46BD-B3E3-F9072265A7A1}"/>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6CF4-46BD-B3E3-F9072265A7A1}"/>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6CF4-46BD-B3E3-F9072265A7A1}"/>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6CF4-46BD-B3E3-F9072265A7A1}"/>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6CF4-46BD-B3E3-F9072265A7A1}"/>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6CF4-46BD-B3E3-F9072265A7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Sheet1!$A$21:$A$29</c:f>
              <c:strCache>
                <c:ptCount val="8"/>
                <c:pt idx="0">
                  <c:v>Australia</c:v>
                </c:pt>
                <c:pt idx="1">
                  <c:v>France</c:v>
                </c:pt>
                <c:pt idx="2">
                  <c:v>Germany</c:v>
                </c:pt>
                <c:pt idx="3">
                  <c:v>Italy</c:v>
                </c:pt>
                <c:pt idx="4">
                  <c:v>Netherlands</c:v>
                </c:pt>
                <c:pt idx="5">
                  <c:v>Portugal</c:v>
                </c:pt>
                <c:pt idx="6">
                  <c:v>Spain</c:v>
                </c:pt>
                <c:pt idx="7">
                  <c:v>United Kingdom</c:v>
                </c:pt>
              </c:strCache>
            </c:strRef>
          </c:cat>
          <c:val>
            <c:numRef>
              <c:f>Sheet1!$B$21:$B$29</c:f>
              <c:numCache>
                <c:formatCode>General</c:formatCode>
                <c:ptCount val="8"/>
                <c:pt idx="0">
                  <c:v>65</c:v>
                </c:pt>
                <c:pt idx="1">
                  <c:v>199.14</c:v>
                </c:pt>
                <c:pt idx="2">
                  <c:v>145.55000000000001</c:v>
                </c:pt>
                <c:pt idx="3">
                  <c:v>27.950000000000003</c:v>
                </c:pt>
                <c:pt idx="4">
                  <c:v>32.5</c:v>
                </c:pt>
                <c:pt idx="5">
                  <c:v>57.600000000000009</c:v>
                </c:pt>
                <c:pt idx="6">
                  <c:v>61.2</c:v>
                </c:pt>
                <c:pt idx="7">
                  <c:v>566.53</c:v>
                </c:pt>
              </c:numCache>
            </c:numRef>
          </c:val>
          <c:extLst>
            <c:ext xmlns:c16="http://schemas.microsoft.com/office/drawing/2014/chart" uri="{C3380CC4-5D6E-409C-BE32-E72D297353CC}">
              <c16:uniqueId val="{00000000-BAB5-49D5-ADD3-029C083FFD7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[Ecommerce_Sales_Analysis_Template.xlsx]Sheet1!PivotTable19</c:name>
    <c:fmtId val="4"/>
  </c:pivotSource>
  <c:chart>
    <c:autoTitleDeleted val="1"/>
    <c:pivotFmts>
      <c:pivotFmt>
        <c:idx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7.0050955175111358E-3"/>
              <c:y val="-0.243296761533723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818714746994704"/>
                  <c:h val="0.25452934099144908"/>
                </c:manualLayout>
              </c15:layout>
            </c:ext>
          </c:extLst>
        </c:dLbl>
      </c:pivotFmt>
    </c:pivotFmts>
    <c:plotArea>
      <c:layout/>
      <c:doughnutChart>
        <c:varyColors val="1"/>
        <c:ser>
          <c:idx val="0"/>
          <c:order val="0"/>
          <c:tx>
            <c:strRef>
              <c:f>Sheet1!$B$122</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extLst>
              <c:ext xmlns:c16="http://schemas.microsoft.com/office/drawing/2014/chart" uri="{C3380CC4-5D6E-409C-BE32-E72D297353CC}">
                <c16:uniqueId val="{00000002-CE28-449A-83AE-EE046BFEF4EA}"/>
              </c:ext>
            </c:extLst>
          </c:dPt>
          <c:dLbls>
            <c:dLbl>
              <c:idx val="0"/>
              <c:layout>
                <c:manualLayout>
                  <c:x val="-7.0050955175111358E-3"/>
                  <c:y val="-0.243296761533723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818714746994704"/>
                      <c:h val="0.25452934099144908"/>
                    </c:manualLayout>
                  </c15:layout>
                </c:ext>
                <c:ext xmlns:c16="http://schemas.microsoft.com/office/drawing/2014/chart" uri="{C3380CC4-5D6E-409C-BE32-E72D297353CC}">
                  <c16:uniqueId val="{00000002-CE28-449A-83AE-EE046BFEF4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Sheet1!$A$123:$A$124</c:f>
              <c:strCache>
                <c:ptCount val="1"/>
                <c:pt idx="0">
                  <c:v>Wednesday</c:v>
                </c:pt>
              </c:strCache>
            </c:strRef>
          </c:cat>
          <c:val>
            <c:numRef>
              <c:f>Sheet1!$B$123:$B$124</c:f>
              <c:numCache>
                <c:formatCode>General</c:formatCode>
                <c:ptCount val="1"/>
                <c:pt idx="0">
                  <c:v>535</c:v>
                </c:pt>
              </c:numCache>
            </c:numRef>
          </c:val>
          <c:extLst>
            <c:ext xmlns:c16="http://schemas.microsoft.com/office/drawing/2014/chart" uri="{C3380CC4-5D6E-409C-BE32-E72D297353CC}">
              <c16:uniqueId val="{00000000-CE28-449A-83AE-EE046BFEF4EA}"/>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[Ecommerce_Sales_Analysis_Template.xlsx]Sheet1!PivotTable9</c:name>
    <c:fmtId val="2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1.4084617943883724E-2"/>
              <c:y val="-0.30555555555555558"/>
            </c:manualLayout>
          </c:layout>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8439614062325"/>
                  <c:h val="0.15733814523184603"/>
                </c:manualLayout>
              </c15:layout>
            </c:ext>
          </c:extLst>
        </c:dLbl>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1.4084617943883724E-2"/>
              <c:y val="-0.30555555555555558"/>
            </c:manualLayout>
          </c:layout>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8439614062325"/>
                  <c:h val="0.15733814523184603"/>
                </c:manualLayout>
              </c15:layout>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292100" dist="38100" dir="5520000" sx="101000" sy="101000" algn="tl" rotWithShape="0">
              <a:srgbClr val="00B0F0"/>
            </a:outerShdw>
          </a:effectLst>
        </c:spPr>
        <c:dLbl>
          <c:idx val="0"/>
          <c:layout>
            <c:manualLayout>
              <c:x val="-5.2867433897742979E-3"/>
              <c:y val="-0.26101197530682924"/>
            </c:manualLayout>
          </c:layout>
          <c:tx>
            <c:rich>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fld id="{F5DE5465-C94B-45FB-9A6C-67AECD1889B6}" type="VALUE">
                  <a:rPr lang="en-US" sz="1800">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27083069600223"/>
                  <c:h val="0.31769461445381686"/>
                </c:manualLayout>
              </c15:layout>
              <c15:dlblFieldTable/>
              <c15:showDataLabelsRange val="0"/>
            </c:ext>
          </c:extLst>
        </c:dLbl>
      </c:pivotFmt>
    </c:pivotFmts>
    <c:plotArea>
      <c:layout>
        <c:manualLayout>
          <c:layoutTarget val="inner"/>
          <c:xMode val="edge"/>
          <c:yMode val="edge"/>
          <c:x val="0.48196259842519684"/>
          <c:y val="0.27998721773857788"/>
          <c:w val="0.51721193301541535"/>
          <c:h val="0.80072543015456399"/>
        </c:manualLayout>
      </c:layout>
      <c:doughnutChart>
        <c:varyColors val="1"/>
        <c:ser>
          <c:idx val="0"/>
          <c:order val="0"/>
          <c:tx>
            <c:strRef>
              <c:f>Sheet1!$B$36</c:f>
              <c:strCache>
                <c:ptCount val="1"/>
                <c:pt idx="0">
                  <c:v>Total</c:v>
                </c:pt>
              </c:strCache>
            </c:strRef>
          </c:tx>
          <c:spPr>
            <a:ln>
              <a:noFill/>
            </a:ln>
            <a:effectLst/>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292100" dist="38100" dir="5520000" sx="101000" sy="101000" algn="tl" rotWithShape="0">
                  <a:srgbClr val="00B0F0"/>
                </a:outerShdw>
              </a:effectLst>
            </c:spPr>
            <c:extLst>
              <c:ext xmlns:c16="http://schemas.microsoft.com/office/drawing/2014/chart" uri="{C3380CC4-5D6E-409C-BE32-E72D297353CC}">
                <c16:uniqueId val="{00000001-954A-49ED-A3BD-456DED8773CD}"/>
              </c:ext>
            </c:extLst>
          </c:dPt>
          <c:dLbls>
            <c:dLbl>
              <c:idx val="0"/>
              <c:layout>
                <c:manualLayout>
                  <c:x val="-5.2867433897742979E-3"/>
                  <c:y val="-0.26101197530682924"/>
                </c:manualLayout>
              </c:layout>
              <c:tx>
                <c:rich>
                  <a:bodyPr/>
                  <a:lstStyle/>
                  <a:p>
                    <a:fld id="{F5DE5465-C94B-45FB-9A6C-67AECD1889B6}" type="VALUE">
                      <a:rPr lang="en-US" sz="1800">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7927083069600223"/>
                      <c:h val="0.31769461445381686"/>
                    </c:manualLayout>
                  </c15:layout>
                  <c15:dlblFieldTable/>
                  <c15:showDataLabelsRange val="0"/>
                </c:ext>
                <c:ext xmlns:c16="http://schemas.microsoft.com/office/drawing/2014/chart" uri="{C3380CC4-5D6E-409C-BE32-E72D297353CC}">
                  <c16:uniqueId val="{00000001-954A-49ED-A3BD-456DED8773CD}"/>
                </c:ext>
              </c:extLst>
            </c:dLbl>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Sheet1!$A$37:$A$38</c:f>
              <c:strCache>
                <c:ptCount val="1"/>
                <c:pt idx="0">
                  <c:v>12</c:v>
                </c:pt>
              </c:strCache>
            </c:strRef>
          </c:cat>
          <c:val>
            <c:numRef>
              <c:f>Sheet1!$B$37:$B$38</c:f>
              <c:numCache>
                <c:formatCode>0.00%</c:formatCode>
                <c:ptCount val="1"/>
                <c:pt idx="0">
                  <c:v>1</c:v>
                </c:pt>
              </c:numCache>
            </c:numRef>
          </c:val>
          <c:extLst>
            <c:ext xmlns:c16="http://schemas.microsoft.com/office/drawing/2014/chart" uri="{C3380CC4-5D6E-409C-BE32-E72D297353CC}">
              <c16:uniqueId val="{00000002-954A-49ED-A3BD-456DED8773CD}"/>
            </c:ext>
          </c:extLst>
        </c:ser>
        <c:dLbls>
          <c:showLegendKey val="0"/>
          <c:showVal val="1"/>
          <c:showCatName val="0"/>
          <c:showSerName val="0"/>
          <c:showPercent val="0"/>
          <c:showBubbleSize val="0"/>
          <c:showLeaderLines val="1"/>
        </c:dLbls>
        <c:firstSliceAng val="0"/>
        <c:holeSize val="70"/>
      </c:doughnutChart>
      <c:spPr>
        <a:solidFill>
          <a:schemeClr val="tx1">
            <a:alpha val="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[Ecommerce_Sales_Analysis_Template.xlsx]Sheet1!PivotTable14</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150110375275938E-3"/>
              <c:y val="-0.379629447360746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575D546-095E-46BC-B936-C2FFE9C9CDD6}" type="PERCENTAGE">
                  <a:rPr lang="en-US" sz="18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799134379725713"/>
                  <c:h val="0.21736111111111106"/>
                </c:manualLayout>
              </c15:layout>
              <c15:dlblFieldTable/>
              <c15:showDataLabelsRange val="0"/>
            </c:ext>
          </c:extLst>
        </c:dLbl>
      </c:pivotFmt>
      <c:pivotFmt>
        <c:idx val="26"/>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150110375275938E-3"/>
              <c:y val="-0.379629447360746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575D546-095E-46BC-B936-C2FFE9C9CDD6}" type="PERCENTAGE">
                  <a:rPr lang="en-US" sz="18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799134379725713"/>
                  <c:h val="0.21736111111111106"/>
                </c:manualLayout>
              </c15:layout>
              <c15:dlblFieldTable/>
              <c15:showDataLabelsRange val="0"/>
            </c:ext>
          </c:extLst>
        </c:dLbl>
      </c:pivotFmt>
      <c:pivotFmt>
        <c:idx val="28"/>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025371628141665E-2"/>
              <c:y val="-0.360879580986932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575D546-095E-46BC-B936-C2FFE9C9CDD6}" type="PERCENTAGE">
                  <a:rPr lang="en-US" sz="18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3208616331873861"/>
                  <c:h val="0.21736130625148559"/>
                </c:manualLayout>
              </c15:layout>
              <c15:dlblFieldTable/>
              <c15:showDataLabelsRange val="0"/>
            </c:ext>
          </c:extLst>
        </c:dLbl>
      </c:pivotFmt>
    </c:pivotFmts>
    <c:plotArea>
      <c:layout/>
      <c:doughnutChart>
        <c:varyColors val="1"/>
        <c:ser>
          <c:idx val="0"/>
          <c:order val="0"/>
          <c:tx>
            <c:strRef>
              <c:f>Sheet1!$B$46</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E38-431F-B0C8-27207B17F149}"/>
              </c:ext>
            </c:extLst>
          </c:dPt>
          <c:dLbls>
            <c:dLbl>
              <c:idx val="0"/>
              <c:layout>
                <c:manualLayout>
                  <c:x val="-3.025371628141665E-2"/>
                  <c:y val="-0.360879580986932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575D546-095E-46BC-B936-C2FFE9C9CDD6}" type="PERCENTAGE">
                      <a:rPr lang="en-US" sz="18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3208616331873861"/>
                      <c:h val="0.21736130625148559"/>
                    </c:manualLayout>
                  </c15:layout>
                  <c15:dlblFieldTable/>
                  <c15:showDataLabelsRange val="0"/>
                </c:ext>
                <c:ext xmlns:c16="http://schemas.microsoft.com/office/drawing/2014/chart" uri="{C3380CC4-5D6E-409C-BE32-E72D297353CC}">
                  <c16:uniqueId val="{00000001-CE38-431F-B0C8-27207B17F1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Sheet1!$A$47:$A$48</c:f>
              <c:strCache>
                <c:ptCount val="1"/>
                <c:pt idx="0">
                  <c:v>2010</c:v>
                </c:pt>
              </c:strCache>
            </c:strRef>
          </c:cat>
          <c:val>
            <c:numRef>
              <c:f>Sheet1!$B$47:$B$48</c:f>
              <c:numCache>
                <c:formatCode>General</c:formatCode>
                <c:ptCount val="1"/>
                <c:pt idx="0">
                  <c:v>185.16999999999996</c:v>
                </c:pt>
              </c:numCache>
            </c:numRef>
          </c:val>
          <c:extLst>
            <c:ext xmlns:c16="http://schemas.microsoft.com/office/drawing/2014/chart" uri="{C3380CC4-5D6E-409C-BE32-E72D297353CC}">
              <c16:uniqueId val="{00000002-CE38-431F-B0C8-27207B17F149}"/>
            </c:ext>
          </c:extLst>
        </c:ser>
        <c:dLbls>
          <c:showLegendKey val="0"/>
          <c:showVal val="0"/>
          <c:showCatName val="0"/>
          <c:showSerName val="0"/>
          <c:showPercent val="1"/>
          <c:showBubbleSize val="0"/>
          <c:showLeaderLines val="1"/>
        </c:dLbls>
        <c:firstSliceAng val="0"/>
        <c:holeSize val="75"/>
      </c:doughnutChart>
      <c:spPr>
        <a:noFill/>
        <a:ln>
          <a:noFill/>
        </a:ln>
        <a:effectLst>
          <a:outerShdw dist="38100" dir="5400000" sx="82000" sy="82000" algn="t" rotWithShape="0">
            <a:prstClr val="black">
              <a:alpha val="5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[Ecommerce_Sales_Analysis_Template.xlsx]Sheet1!PivotTable15</c:name>
    <c:fmtId val="8"/>
  </c:pivotSource>
  <c:chart>
    <c:autoTitleDeleted val="1"/>
    <c:pivotFmts>
      <c:pivotFmt>
        <c:idx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2.2222222222222223E-2"/>
              <c:y val="-0.41898166375036455"/>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2C73F4E9-1266-45E1-9B48-ED6A9CC28E0E}" type="PERCENTAGE">
                  <a:rPr lang="en-US" sz="160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399999999999997"/>
                  <c:h val="0.32863444152814225"/>
                </c:manualLayout>
              </c15:layout>
              <c15:dlblFieldTable/>
              <c15:showDataLabelsRange val="0"/>
            </c:ext>
          </c:extLst>
        </c:dLbl>
      </c:pivotFmt>
      <c:pivotFmt>
        <c:idx val="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2.2222222222222223E-2"/>
              <c:y val="-0.41898166375036455"/>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2C73F4E9-1266-45E1-9B48-ED6A9CC28E0E}" type="PERCENTAGE">
                  <a:rPr lang="en-US" sz="160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399999999999997"/>
                  <c:h val="0.32863444152814225"/>
                </c:manualLayout>
              </c15:layout>
              <c15:dlblFieldTable/>
              <c15:showDataLabelsRange val="0"/>
            </c:ext>
          </c:extLst>
        </c:dLbl>
      </c:pivotFmt>
      <c:pivotFmt>
        <c:idx val="4"/>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a:prstClr val="black">
                <a:alpha val="42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a:prstClr val="black">
                <a:alpha val="42000"/>
              </a:prstClr>
            </a:innerShdw>
          </a:effectLst>
        </c:spPr>
        <c:dLbl>
          <c:idx val="0"/>
          <c:layout>
            <c:manualLayout>
              <c:x val="1.3054757102681279E-2"/>
              <c:y val="-0.4041170487451454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2C73F4E9-1266-45E1-9B48-ED6A9CC28E0E}" type="PERCENTAGE">
                  <a:rPr lang="en-US" sz="1600"/>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399999999999997"/>
                  <c:h val="0.32863444152814225"/>
                </c:manualLayout>
              </c15:layout>
              <c15:dlblFieldTable/>
              <c15:showDataLabelsRange val="0"/>
            </c:ext>
          </c:extLst>
        </c:dLbl>
      </c:pivotFmt>
      <c:pivotFmt>
        <c:idx val="6"/>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a:prstClr val="black">
                <a:alpha val="42000"/>
              </a:prstClr>
            </a:innerShdw>
          </a:effectLst>
        </c:spPr>
        <c:dLbl>
          <c:idx val="0"/>
          <c:layout>
            <c:manualLayout>
              <c:x val="-3.2069986305863327E-3"/>
              <c:y val="-0.1709462733595361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290673744542535"/>
          <c:y val="0.14378714121086239"/>
          <c:w val="0.46388888888888891"/>
          <c:h val="0.77314814814814814"/>
        </c:manualLayout>
      </c:layout>
      <c:doughnutChart>
        <c:varyColors val="1"/>
        <c:ser>
          <c:idx val="0"/>
          <c:order val="0"/>
          <c:tx>
            <c:strRef>
              <c:f>Sheet1!$A$1</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effectLst>
              <a:innerShdw>
                <a:prstClr val="black">
                  <a:alpha val="42000"/>
                </a:prstClr>
              </a:innerShdw>
            </a:effectLst>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a:prstClr val="black">
                    <a:alpha val="42000"/>
                  </a:prstClr>
                </a:innerShdw>
              </a:effectLst>
            </c:spPr>
            <c:extLst>
              <c:ext xmlns:c16="http://schemas.microsoft.com/office/drawing/2014/chart" uri="{C3380CC4-5D6E-409C-BE32-E72D297353CC}">
                <c16:uniqueId val="{00000005-EFEA-44F6-8923-020B5C305B21}"/>
              </c:ext>
            </c:extLst>
          </c:dPt>
          <c:dLbls>
            <c:dLbl>
              <c:idx val="0"/>
              <c:layout>
                <c:manualLayout>
                  <c:x val="-3.2069986305863327E-3"/>
                  <c:y val="-0.1709462733595361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EA-44F6-8923-020B5C305B2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Sheet1!$A$2</c:f>
              <c:strCache>
                <c:ptCount val="1"/>
                <c:pt idx="0">
                  <c:v>Total</c:v>
                </c:pt>
              </c:strCache>
            </c:strRef>
          </c:cat>
          <c:val>
            <c:numRef>
              <c:f>Sheet1!$A$2</c:f>
              <c:numCache>
                <c:formatCode>General</c:formatCode>
                <c:ptCount val="1"/>
                <c:pt idx="0">
                  <c:v>185.16999999999996</c:v>
                </c:pt>
              </c:numCache>
            </c:numRef>
          </c:val>
          <c:extLst>
            <c:ext xmlns:c16="http://schemas.microsoft.com/office/drawing/2014/chart" uri="{C3380CC4-5D6E-409C-BE32-E72D297353CC}">
              <c16:uniqueId val="{00000003-EFEA-44F6-8923-020B5C305B2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[Ecommerce_Sales_Analysis_Template.xlsx]Sheet1!PivotTable16</c:name>
    <c:fmtId val="8"/>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s>
    <c:plotArea>
      <c:layout/>
      <c:doughnutChart>
        <c:varyColors val="1"/>
        <c:ser>
          <c:idx val="0"/>
          <c:order val="0"/>
          <c:tx>
            <c:strRef>
              <c:f>Sheet1!$B$7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521E-4715-A7EE-F74CBE8B4F8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521E-4715-A7EE-F74CBE8B4F8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521E-4715-A7EE-F74CBE8B4F8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521E-4715-A7EE-F74CBE8B4F8B}"/>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521E-4715-A7EE-F74CBE8B4F8B}"/>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521E-4715-A7EE-F74CBE8B4F8B}"/>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521E-4715-A7EE-F74CBE8B4F8B}"/>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521E-4715-A7EE-F74CBE8B4F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Sheet1!$A$8:$A$16</c:f>
              <c:strCache>
                <c:ptCount val="8"/>
                <c:pt idx="0">
                  <c:v>Australia</c:v>
                </c:pt>
                <c:pt idx="1">
                  <c:v>France</c:v>
                </c:pt>
                <c:pt idx="2">
                  <c:v>Germany</c:v>
                </c:pt>
                <c:pt idx="3">
                  <c:v>Italy</c:v>
                </c:pt>
                <c:pt idx="4">
                  <c:v>Netherlands</c:v>
                </c:pt>
                <c:pt idx="5">
                  <c:v>Portugal</c:v>
                </c:pt>
                <c:pt idx="6">
                  <c:v>Spain</c:v>
                </c:pt>
                <c:pt idx="7">
                  <c:v>United Kingdom</c:v>
                </c:pt>
              </c:strCache>
            </c:strRef>
          </c:cat>
          <c:val>
            <c:numRef>
              <c:f>Sheet1!$B$8:$B$16</c:f>
              <c:numCache>
                <c:formatCode>0.00%</c:formatCode>
                <c:ptCount val="8"/>
                <c:pt idx="0">
                  <c:v>7.8431662124065646E-2</c:v>
                </c:pt>
                <c:pt idx="1">
                  <c:v>0.15686317802706845</c:v>
                </c:pt>
                <c:pt idx="2">
                  <c:v>0.11764723729923848</c:v>
                </c:pt>
                <c:pt idx="3">
                  <c:v>3.9215794506767113E-2</c:v>
                </c:pt>
                <c:pt idx="4">
                  <c:v>3.9215282733047127E-2</c:v>
                </c:pt>
                <c:pt idx="5">
                  <c:v>3.9215940727829961E-2</c:v>
                </c:pt>
                <c:pt idx="6">
                  <c:v>3.9215136511984279E-2</c:v>
                </c:pt>
                <c:pt idx="7">
                  <c:v>0.49019576806999893</c:v>
                </c:pt>
              </c:numCache>
            </c:numRef>
          </c:val>
          <c:extLst>
            <c:ext xmlns:c16="http://schemas.microsoft.com/office/drawing/2014/chart" uri="{C3380CC4-5D6E-409C-BE32-E72D297353CC}">
              <c16:uniqueId val="{00000010-521E-4715-A7EE-F74CBE8B4F8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[Ecommerce_Sales_Analysis_Template.xlsx]Sheet1!PivotTable17</c:name>
    <c:fmtId val="1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s>
    <c:plotArea>
      <c:layout/>
      <c:pieChart>
        <c:varyColors val="1"/>
        <c:ser>
          <c:idx val="0"/>
          <c:order val="0"/>
          <c:tx>
            <c:strRef>
              <c:f>Sheet1!$B$20</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005-40A1-B7FA-AFE4A4B570D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005-40A1-B7FA-AFE4A4B570D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005-40A1-B7FA-AFE4A4B570D7}"/>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0005-40A1-B7FA-AFE4A4B570D7}"/>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0005-40A1-B7FA-AFE4A4B570D7}"/>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0005-40A1-B7FA-AFE4A4B570D7}"/>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0005-40A1-B7FA-AFE4A4B570D7}"/>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0005-40A1-B7FA-AFE4A4B570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Sheet1!$A$21:$A$29</c:f>
              <c:strCache>
                <c:ptCount val="8"/>
                <c:pt idx="0">
                  <c:v>Australia</c:v>
                </c:pt>
                <c:pt idx="1">
                  <c:v>France</c:v>
                </c:pt>
                <c:pt idx="2">
                  <c:v>Germany</c:v>
                </c:pt>
                <c:pt idx="3">
                  <c:v>Italy</c:v>
                </c:pt>
                <c:pt idx="4">
                  <c:v>Netherlands</c:v>
                </c:pt>
                <c:pt idx="5">
                  <c:v>Portugal</c:v>
                </c:pt>
                <c:pt idx="6">
                  <c:v>Spain</c:v>
                </c:pt>
                <c:pt idx="7">
                  <c:v>United Kingdom</c:v>
                </c:pt>
              </c:strCache>
            </c:strRef>
          </c:cat>
          <c:val>
            <c:numRef>
              <c:f>Sheet1!$B$21:$B$29</c:f>
              <c:numCache>
                <c:formatCode>General</c:formatCode>
                <c:ptCount val="8"/>
                <c:pt idx="0">
                  <c:v>65</c:v>
                </c:pt>
                <c:pt idx="1">
                  <c:v>199.14</c:v>
                </c:pt>
                <c:pt idx="2">
                  <c:v>145.55000000000001</c:v>
                </c:pt>
                <c:pt idx="3">
                  <c:v>27.950000000000003</c:v>
                </c:pt>
                <c:pt idx="4">
                  <c:v>32.5</c:v>
                </c:pt>
                <c:pt idx="5">
                  <c:v>57.600000000000009</c:v>
                </c:pt>
                <c:pt idx="6">
                  <c:v>61.2</c:v>
                </c:pt>
                <c:pt idx="7">
                  <c:v>566.53</c:v>
                </c:pt>
              </c:numCache>
            </c:numRef>
          </c:val>
          <c:extLst>
            <c:ext xmlns:c16="http://schemas.microsoft.com/office/drawing/2014/chart" uri="{C3380CC4-5D6E-409C-BE32-E72D297353CC}">
              <c16:uniqueId val="{00000010-0005-40A1-B7FA-AFE4A4B570D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[Ecommerce_Sales_Analysis_Template.xlsx]Sheet1!PivotTable19</c:name>
    <c:fmtId val="9"/>
  </c:pivotSource>
  <c:chart>
    <c:autoTitleDeleted val="1"/>
    <c:pivotFmts>
      <c:pivotFmt>
        <c:idx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7.0050955175111358E-3"/>
              <c:y val="-0.243296761533723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818714746994704"/>
                  <c:h val="0.25452934099144908"/>
                </c:manualLayout>
              </c15:layout>
            </c:ext>
          </c:extLst>
        </c:dLbl>
      </c:pivotFmt>
      <c:pivotFmt>
        <c:idx val="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outerShdw blurRad="317500" algn="ctr" rotWithShape="0">
              <a:prstClr val="black">
                <a:alpha val="25000"/>
              </a:prstClr>
            </a:outerShdw>
          </a:effectLst>
        </c:spPr>
        <c:dLbl>
          <c:idx val="0"/>
          <c:layout>
            <c:manualLayout>
              <c:x val="-7.0050955175111358E-3"/>
              <c:y val="-0.243296761533723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818714746994704"/>
                  <c:h val="0.25452934099144908"/>
                </c:manualLayout>
              </c15:layout>
            </c:ext>
          </c:extLst>
        </c:dLbl>
      </c:pivotFmt>
      <c:pivotFmt>
        <c:idx val="4"/>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dir="13800000">
              <a:prstClr val="black">
                <a:alpha val="54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dir="13800000">
              <a:prstClr val="black">
                <a:alpha val="54000"/>
              </a:prstClr>
            </a:innerShdw>
          </a:effectLst>
        </c:spPr>
        <c:dLbl>
          <c:idx val="0"/>
          <c:layout>
            <c:manualLayout>
              <c:x val="1.5443842340942421E-2"/>
              <c:y val="-0.2810347381336824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757490200061122"/>
                  <c:h val="0.36484046278501198"/>
                </c:manualLayout>
              </c15:layout>
            </c:ext>
          </c:extLst>
        </c:dLbl>
      </c:pivotFmt>
    </c:pivotFmts>
    <c:plotArea>
      <c:layout/>
      <c:doughnutChart>
        <c:varyColors val="1"/>
        <c:ser>
          <c:idx val="0"/>
          <c:order val="0"/>
          <c:tx>
            <c:strRef>
              <c:f>Sheet1!$B$122</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effectLst>
              <a:innerShdw dir="13800000">
                <a:prstClr val="black">
                  <a:alpha val="54000"/>
                </a:prstClr>
              </a:innerShdw>
            </a:effectLst>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a:innerShdw dir="13800000">
                  <a:prstClr val="black">
                    <a:alpha val="54000"/>
                  </a:prstClr>
                </a:innerShdw>
              </a:effectLst>
            </c:spPr>
            <c:extLst>
              <c:ext xmlns:c16="http://schemas.microsoft.com/office/drawing/2014/chart" uri="{C3380CC4-5D6E-409C-BE32-E72D297353CC}">
                <c16:uniqueId val="{00000001-F47F-4B74-9088-ED9E4AEB25A8}"/>
              </c:ext>
            </c:extLst>
          </c:dPt>
          <c:dLbls>
            <c:dLbl>
              <c:idx val="0"/>
              <c:layout>
                <c:manualLayout>
                  <c:x val="1.5443842340942421E-2"/>
                  <c:y val="-0.2810347381336824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757490200061122"/>
                      <c:h val="0.36484046278501198"/>
                    </c:manualLayout>
                  </c15:layout>
                </c:ext>
                <c:ext xmlns:c16="http://schemas.microsoft.com/office/drawing/2014/chart" uri="{C3380CC4-5D6E-409C-BE32-E72D297353CC}">
                  <c16:uniqueId val="{00000001-F47F-4B74-9088-ED9E4AEB25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Sheet1!$A$123:$A$124</c:f>
              <c:strCache>
                <c:ptCount val="1"/>
                <c:pt idx="0">
                  <c:v>Wednesday</c:v>
                </c:pt>
              </c:strCache>
            </c:strRef>
          </c:cat>
          <c:val>
            <c:numRef>
              <c:f>Sheet1!$B$123:$B$124</c:f>
              <c:numCache>
                <c:formatCode>General</c:formatCode>
                <c:ptCount val="1"/>
                <c:pt idx="0">
                  <c:v>535</c:v>
                </c:pt>
              </c:numCache>
            </c:numRef>
          </c:val>
          <c:extLst>
            <c:ext xmlns:c16="http://schemas.microsoft.com/office/drawing/2014/chart" uri="{C3380CC4-5D6E-409C-BE32-E72D297353CC}">
              <c16:uniqueId val="{00000002-F47F-4B74-9088-ED9E4AEB25A8}"/>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[Ecommerce_Sales_Analysis_Template.xlsx]Sheet1!PivotTable3</c:name>
    <c:fmtId val="3"/>
  </c:pivotSource>
  <c:chart>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Sheet1!$B$67</c:f>
              <c:strCache>
                <c:ptCount val="1"/>
                <c:pt idx="0">
                  <c:v>Sum of UnitPrice</c:v>
                </c:pt>
              </c:strCache>
            </c:strRef>
          </c:tx>
          <c:spPr>
            <a:ln w="28575" cap="rnd">
              <a:solidFill>
                <a:srgbClr val="00B0F0"/>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Sheet1!$B$68:$B$119</c:f>
              <c:numCache>
                <c:formatCode>General</c:formatCode>
                <c:ptCount val="51"/>
                <c:pt idx="0">
                  <c:v>1.65</c:v>
                </c:pt>
                <c:pt idx="1">
                  <c:v>0.55000000000000004</c:v>
                </c:pt>
                <c:pt idx="2">
                  <c:v>0.55000000000000004</c:v>
                </c:pt>
                <c:pt idx="3">
                  <c:v>1.25</c:v>
                </c:pt>
                <c:pt idx="4">
                  <c:v>4.25</c:v>
                </c:pt>
                <c:pt idx="5">
                  <c:v>5.95</c:v>
                </c:pt>
                <c:pt idx="6">
                  <c:v>5.95</c:v>
                </c:pt>
                <c:pt idx="7">
                  <c:v>1.25</c:v>
                </c:pt>
                <c:pt idx="8">
                  <c:v>1.25</c:v>
                </c:pt>
                <c:pt idx="9">
                  <c:v>1.95</c:v>
                </c:pt>
                <c:pt idx="10">
                  <c:v>0.55000000000000004</c:v>
                </c:pt>
                <c:pt idx="11">
                  <c:v>0.55000000000000004</c:v>
                </c:pt>
                <c:pt idx="12">
                  <c:v>1.65</c:v>
                </c:pt>
                <c:pt idx="13">
                  <c:v>2.95</c:v>
                </c:pt>
                <c:pt idx="14">
                  <c:v>4.95</c:v>
                </c:pt>
                <c:pt idx="15">
                  <c:v>4.95</c:v>
                </c:pt>
                <c:pt idx="16">
                  <c:v>4.95</c:v>
                </c:pt>
                <c:pt idx="17">
                  <c:v>0.85</c:v>
                </c:pt>
                <c:pt idx="18">
                  <c:v>2.95</c:v>
                </c:pt>
                <c:pt idx="19">
                  <c:v>2.95</c:v>
                </c:pt>
                <c:pt idx="20">
                  <c:v>0.85</c:v>
                </c:pt>
                <c:pt idx="21">
                  <c:v>1.65</c:v>
                </c:pt>
                <c:pt idx="22">
                  <c:v>1.65</c:v>
                </c:pt>
                <c:pt idx="23">
                  <c:v>1.65</c:v>
                </c:pt>
                <c:pt idx="24">
                  <c:v>1.95</c:v>
                </c:pt>
                <c:pt idx="25">
                  <c:v>12.75</c:v>
                </c:pt>
                <c:pt idx="26">
                  <c:v>14.95</c:v>
                </c:pt>
                <c:pt idx="27">
                  <c:v>4.95</c:v>
                </c:pt>
                <c:pt idx="28">
                  <c:v>7.95</c:v>
                </c:pt>
                <c:pt idx="29">
                  <c:v>5.95</c:v>
                </c:pt>
                <c:pt idx="30">
                  <c:v>9.9499999999999993</c:v>
                </c:pt>
                <c:pt idx="31">
                  <c:v>4.25</c:v>
                </c:pt>
                <c:pt idx="32">
                  <c:v>12.95</c:v>
                </c:pt>
                <c:pt idx="33">
                  <c:v>2.95</c:v>
                </c:pt>
                <c:pt idx="34">
                  <c:v>1.95</c:v>
                </c:pt>
                <c:pt idx="35">
                  <c:v>1.95</c:v>
                </c:pt>
                <c:pt idx="36">
                  <c:v>1.85</c:v>
                </c:pt>
                <c:pt idx="37">
                  <c:v>1.85</c:v>
                </c:pt>
                <c:pt idx="38">
                  <c:v>7.65</c:v>
                </c:pt>
                <c:pt idx="39">
                  <c:v>4.6500000000000004</c:v>
                </c:pt>
                <c:pt idx="40">
                  <c:v>4.95</c:v>
                </c:pt>
                <c:pt idx="41">
                  <c:v>4.95</c:v>
                </c:pt>
                <c:pt idx="42">
                  <c:v>3.39</c:v>
                </c:pt>
                <c:pt idx="43">
                  <c:v>0.85</c:v>
                </c:pt>
                <c:pt idx="44">
                  <c:v>1.69</c:v>
                </c:pt>
                <c:pt idx="45">
                  <c:v>0.55000000000000004</c:v>
                </c:pt>
                <c:pt idx="46">
                  <c:v>3.39</c:v>
                </c:pt>
                <c:pt idx="47">
                  <c:v>2.75</c:v>
                </c:pt>
                <c:pt idx="48">
                  <c:v>1.95</c:v>
                </c:pt>
                <c:pt idx="49">
                  <c:v>1.95</c:v>
                </c:pt>
                <c:pt idx="50">
                  <c:v>2.5499999999999998</c:v>
                </c:pt>
              </c:numCache>
            </c:numRef>
          </c:val>
          <c:smooth val="0"/>
          <c:extLst>
            <c:ext xmlns:c16="http://schemas.microsoft.com/office/drawing/2014/chart" uri="{C3380CC4-5D6E-409C-BE32-E72D297353CC}">
              <c16:uniqueId val="{00000000-B706-4146-B506-30AC66A7F31C}"/>
            </c:ext>
          </c:extLst>
        </c:ser>
        <c:ser>
          <c:idx val="1"/>
          <c:order val="1"/>
          <c:tx>
            <c:strRef>
              <c:f>Sheet1!$C$67</c:f>
              <c:strCache>
                <c:ptCount val="1"/>
                <c:pt idx="0">
                  <c:v>Sum of Quantity</c:v>
                </c:pt>
              </c:strCache>
            </c:strRef>
          </c:tx>
          <c:spPr>
            <a:ln w="28575" cap="rnd">
              <a:solidFill>
                <a:schemeClr val="accent5">
                  <a:lumMod val="50000"/>
                </a:schemeClr>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Sheet1!$C$68:$C$119</c:f>
              <c:numCache>
                <c:formatCode>General</c:formatCode>
                <c:ptCount val="51"/>
                <c:pt idx="0">
                  <c:v>15</c:v>
                </c:pt>
                <c:pt idx="1">
                  <c:v>24</c:v>
                </c:pt>
                <c:pt idx="2">
                  <c:v>20</c:v>
                </c:pt>
                <c:pt idx="3">
                  <c:v>12</c:v>
                </c:pt>
                <c:pt idx="4">
                  <c:v>12</c:v>
                </c:pt>
                <c:pt idx="5">
                  <c:v>6</c:v>
                </c:pt>
                <c:pt idx="6">
                  <c:v>8</c:v>
                </c:pt>
                <c:pt idx="7">
                  <c:v>12</c:v>
                </c:pt>
                <c:pt idx="8">
                  <c:v>10</c:v>
                </c:pt>
                <c:pt idx="9">
                  <c:v>12</c:v>
                </c:pt>
                <c:pt idx="10">
                  <c:v>24</c:v>
                </c:pt>
                <c:pt idx="11">
                  <c:v>24</c:v>
                </c:pt>
                <c:pt idx="12">
                  <c:v>10</c:v>
                </c:pt>
                <c:pt idx="13">
                  <c:v>12</c:v>
                </c:pt>
                <c:pt idx="14">
                  <c:v>5</c:v>
                </c:pt>
                <c:pt idx="15">
                  <c:v>6</c:v>
                </c:pt>
                <c:pt idx="16">
                  <c:v>5</c:v>
                </c:pt>
                <c:pt idx="17">
                  <c:v>24</c:v>
                </c:pt>
                <c:pt idx="18">
                  <c:v>6</c:v>
                </c:pt>
                <c:pt idx="19">
                  <c:v>8</c:v>
                </c:pt>
                <c:pt idx="20">
                  <c:v>20</c:v>
                </c:pt>
                <c:pt idx="21">
                  <c:v>18</c:v>
                </c:pt>
                <c:pt idx="22">
                  <c:v>20</c:v>
                </c:pt>
                <c:pt idx="23">
                  <c:v>10</c:v>
                </c:pt>
                <c:pt idx="24">
                  <c:v>10</c:v>
                </c:pt>
                <c:pt idx="25">
                  <c:v>3</c:v>
                </c:pt>
                <c:pt idx="26">
                  <c:v>2</c:v>
                </c:pt>
                <c:pt idx="27">
                  <c:v>4</c:v>
                </c:pt>
                <c:pt idx="28">
                  <c:v>3</c:v>
                </c:pt>
                <c:pt idx="29">
                  <c:v>5</c:v>
                </c:pt>
                <c:pt idx="30">
                  <c:v>2</c:v>
                </c:pt>
                <c:pt idx="31">
                  <c:v>6</c:v>
                </c:pt>
                <c:pt idx="32">
                  <c:v>2</c:v>
                </c:pt>
                <c:pt idx="33">
                  <c:v>5</c:v>
                </c:pt>
                <c:pt idx="34">
                  <c:v>15</c:v>
                </c:pt>
                <c:pt idx="35">
                  <c:v>12</c:v>
                </c:pt>
                <c:pt idx="36">
                  <c:v>8</c:v>
                </c:pt>
                <c:pt idx="37">
                  <c:v>10</c:v>
                </c:pt>
                <c:pt idx="38">
                  <c:v>2</c:v>
                </c:pt>
                <c:pt idx="39">
                  <c:v>6</c:v>
                </c:pt>
                <c:pt idx="40">
                  <c:v>5</c:v>
                </c:pt>
                <c:pt idx="41">
                  <c:v>4</c:v>
                </c:pt>
                <c:pt idx="42">
                  <c:v>6</c:v>
                </c:pt>
                <c:pt idx="43">
                  <c:v>12</c:v>
                </c:pt>
                <c:pt idx="44">
                  <c:v>16</c:v>
                </c:pt>
                <c:pt idx="45">
                  <c:v>36</c:v>
                </c:pt>
                <c:pt idx="46">
                  <c:v>6</c:v>
                </c:pt>
                <c:pt idx="47">
                  <c:v>8</c:v>
                </c:pt>
                <c:pt idx="48">
                  <c:v>10</c:v>
                </c:pt>
                <c:pt idx="49">
                  <c:v>8</c:v>
                </c:pt>
                <c:pt idx="50">
                  <c:v>6</c:v>
                </c:pt>
              </c:numCache>
            </c:numRef>
          </c:val>
          <c:smooth val="0"/>
          <c:extLst>
            <c:ext xmlns:c16="http://schemas.microsoft.com/office/drawing/2014/chart" uri="{C3380CC4-5D6E-409C-BE32-E72D297353CC}">
              <c16:uniqueId val="{00000001-B706-4146-B506-30AC66A7F31C}"/>
            </c:ext>
          </c:extLst>
        </c:ser>
        <c:ser>
          <c:idx val="2"/>
          <c:order val="2"/>
          <c:tx>
            <c:strRef>
              <c:f>Sheet1!$D$67</c:f>
              <c:strCache>
                <c:ptCount val="1"/>
                <c:pt idx="0">
                  <c:v>Sum of Revenue</c:v>
                </c:pt>
              </c:strCache>
            </c:strRef>
          </c:tx>
          <c:spPr>
            <a:ln w="28575" cap="rnd">
              <a:solidFill>
                <a:schemeClr val="accent1"/>
              </a:solidFill>
              <a:round/>
            </a:ln>
            <a:effectLst/>
          </c:spPr>
          <c:marker>
            <c:symbol val="none"/>
          </c:marker>
          <c:cat>
            <c:strRef>
              <c:f>Sheet1!$A$68:$A$119</c:f>
              <c:strCache>
                <c:ptCount val="51"/>
                <c:pt idx="0">
                  <c:v>20725</c:v>
                </c:pt>
                <c:pt idx="1">
                  <c:v>21212</c:v>
                </c:pt>
                <c:pt idx="2">
                  <c:v>21213</c:v>
                </c:pt>
                <c:pt idx="3">
                  <c:v>21232</c:v>
                </c:pt>
                <c:pt idx="4">
                  <c:v>21730</c:v>
                </c:pt>
                <c:pt idx="5">
                  <c:v>21754</c:v>
                </c:pt>
                <c:pt idx="6">
                  <c:v>21755</c:v>
                </c:pt>
                <c:pt idx="7">
                  <c:v>21790</c:v>
                </c:pt>
                <c:pt idx="8">
                  <c:v>21791</c:v>
                </c:pt>
                <c:pt idx="9">
                  <c:v>21931</c:v>
                </c:pt>
                <c:pt idx="10">
                  <c:v>21975</c:v>
                </c:pt>
                <c:pt idx="11">
                  <c:v>21977</c:v>
                </c:pt>
                <c:pt idx="12">
                  <c:v>22077</c:v>
                </c:pt>
                <c:pt idx="13">
                  <c:v>22086</c:v>
                </c:pt>
                <c:pt idx="14">
                  <c:v>22111</c:v>
                </c:pt>
                <c:pt idx="15">
                  <c:v>22112</c:v>
                </c:pt>
                <c:pt idx="16">
                  <c:v>22113</c:v>
                </c:pt>
                <c:pt idx="17">
                  <c:v>22197</c:v>
                </c:pt>
                <c:pt idx="18">
                  <c:v>22326</c:v>
                </c:pt>
                <c:pt idx="19">
                  <c:v>22328</c:v>
                </c:pt>
                <c:pt idx="20">
                  <c:v>22355</c:v>
                </c:pt>
                <c:pt idx="21">
                  <c:v>22382</c:v>
                </c:pt>
                <c:pt idx="22">
                  <c:v>22383</c:v>
                </c:pt>
                <c:pt idx="23">
                  <c:v>22384</c:v>
                </c:pt>
                <c:pt idx="24">
                  <c:v>22411</c:v>
                </c:pt>
                <c:pt idx="25">
                  <c:v>22423</c:v>
                </c:pt>
                <c:pt idx="26">
                  <c:v>22424</c:v>
                </c:pt>
                <c:pt idx="27">
                  <c:v>22425</c:v>
                </c:pt>
                <c:pt idx="28">
                  <c:v>22426</c:v>
                </c:pt>
                <c:pt idx="29">
                  <c:v>22427</c:v>
                </c:pt>
                <c:pt idx="30">
                  <c:v>22428</c:v>
                </c:pt>
                <c:pt idx="31">
                  <c:v>22429</c:v>
                </c:pt>
                <c:pt idx="32">
                  <c:v>22430</c:v>
                </c:pt>
                <c:pt idx="33">
                  <c:v>22457</c:v>
                </c:pt>
                <c:pt idx="34">
                  <c:v>22629</c:v>
                </c:pt>
                <c:pt idx="35">
                  <c:v>22630</c:v>
                </c:pt>
                <c:pt idx="36">
                  <c:v>22632</c:v>
                </c:pt>
                <c:pt idx="37">
                  <c:v>22633</c:v>
                </c:pt>
                <c:pt idx="38">
                  <c:v>22752</c:v>
                </c:pt>
                <c:pt idx="39">
                  <c:v>22835</c:v>
                </c:pt>
                <c:pt idx="40">
                  <c:v>22837</c:v>
                </c:pt>
                <c:pt idx="41">
                  <c:v>47566</c:v>
                </c:pt>
                <c:pt idx="42">
                  <c:v>71053</c:v>
                </c:pt>
                <c:pt idx="43">
                  <c:v>84832</c:v>
                </c:pt>
                <c:pt idx="44">
                  <c:v>84879</c:v>
                </c:pt>
                <c:pt idx="45">
                  <c:v>84991</c:v>
                </c:pt>
                <c:pt idx="46">
                  <c:v>84029G</c:v>
                </c:pt>
                <c:pt idx="47">
                  <c:v>84406B</c:v>
                </c:pt>
                <c:pt idx="48">
                  <c:v>85099B</c:v>
                </c:pt>
                <c:pt idx="49">
                  <c:v>85099F</c:v>
                </c:pt>
                <c:pt idx="50">
                  <c:v>85123A</c:v>
                </c:pt>
              </c:strCache>
            </c:strRef>
          </c:cat>
          <c:val>
            <c:numRef>
              <c:f>Sheet1!$D$68:$D$119</c:f>
              <c:numCache>
                <c:formatCode>General</c:formatCode>
                <c:ptCount val="51"/>
                <c:pt idx="0">
                  <c:v>24.75</c:v>
                </c:pt>
                <c:pt idx="1">
                  <c:v>13.200000000000001</c:v>
                </c:pt>
                <c:pt idx="2">
                  <c:v>11</c:v>
                </c:pt>
                <c:pt idx="3">
                  <c:v>15</c:v>
                </c:pt>
                <c:pt idx="4">
                  <c:v>51</c:v>
                </c:pt>
                <c:pt idx="5">
                  <c:v>35.700000000000003</c:v>
                </c:pt>
                <c:pt idx="6">
                  <c:v>47.6</c:v>
                </c:pt>
                <c:pt idx="7">
                  <c:v>15</c:v>
                </c:pt>
                <c:pt idx="8">
                  <c:v>12.5</c:v>
                </c:pt>
                <c:pt idx="9">
                  <c:v>23.4</c:v>
                </c:pt>
                <c:pt idx="10">
                  <c:v>13.200000000000001</c:v>
                </c:pt>
                <c:pt idx="11">
                  <c:v>13.200000000000001</c:v>
                </c:pt>
                <c:pt idx="12">
                  <c:v>16.5</c:v>
                </c:pt>
                <c:pt idx="13">
                  <c:v>35.400000000000006</c:v>
                </c:pt>
                <c:pt idx="14">
                  <c:v>24.75</c:v>
                </c:pt>
                <c:pt idx="15">
                  <c:v>29.700000000000003</c:v>
                </c:pt>
                <c:pt idx="16">
                  <c:v>24.75</c:v>
                </c:pt>
                <c:pt idx="17">
                  <c:v>20.399999999999999</c:v>
                </c:pt>
                <c:pt idx="18">
                  <c:v>17.700000000000003</c:v>
                </c:pt>
                <c:pt idx="19">
                  <c:v>23.6</c:v>
                </c:pt>
                <c:pt idx="20">
                  <c:v>17</c:v>
                </c:pt>
                <c:pt idx="21">
                  <c:v>29.7</c:v>
                </c:pt>
                <c:pt idx="22">
                  <c:v>33</c:v>
                </c:pt>
                <c:pt idx="23">
                  <c:v>16.5</c:v>
                </c:pt>
                <c:pt idx="24">
                  <c:v>19.5</c:v>
                </c:pt>
                <c:pt idx="25">
                  <c:v>38.25</c:v>
                </c:pt>
                <c:pt idx="26">
                  <c:v>29.9</c:v>
                </c:pt>
                <c:pt idx="27">
                  <c:v>19.8</c:v>
                </c:pt>
                <c:pt idx="28">
                  <c:v>23.85</c:v>
                </c:pt>
                <c:pt idx="29">
                  <c:v>29.75</c:v>
                </c:pt>
                <c:pt idx="30">
                  <c:v>19.899999999999999</c:v>
                </c:pt>
                <c:pt idx="31">
                  <c:v>25.5</c:v>
                </c:pt>
                <c:pt idx="32">
                  <c:v>25.9</c:v>
                </c:pt>
                <c:pt idx="33">
                  <c:v>14.75</c:v>
                </c:pt>
                <c:pt idx="34">
                  <c:v>29.25</c:v>
                </c:pt>
                <c:pt idx="35">
                  <c:v>23.4</c:v>
                </c:pt>
                <c:pt idx="36">
                  <c:v>14.8</c:v>
                </c:pt>
                <c:pt idx="37">
                  <c:v>18.5</c:v>
                </c:pt>
                <c:pt idx="38">
                  <c:v>15.3</c:v>
                </c:pt>
                <c:pt idx="39">
                  <c:v>27.900000000000002</c:v>
                </c:pt>
                <c:pt idx="40">
                  <c:v>24.75</c:v>
                </c:pt>
                <c:pt idx="41">
                  <c:v>19.8</c:v>
                </c:pt>
                <c:pt idx="42">
                  <c:v>20.34</c:v>
                </c:pt>
                <c:pt idx="43">
                  <c:v>10.199999999999999</c:v>
                </c:pt>
                <c:pt idx="44">
                  <c:v>27.04</c:v>
                </c:pt>
                <c:pt idx="45">
                  <c:v>19.8</c:v>
                </c:pt>
                <c:pt idx="46">
                  <c:v>20.34</c:v>
                </c:pt>
                <c:pt idx="47">
                  <c:v>22</c:v>
                </c:pt>
                <c:pt idx="48">
                  <c:v>19.5</c:v>
                </c:pt>
                <c:pt idx="49">
                  <c:v>15.6</c:v>
                </c:pt>
                <c:pt idx="50">
                  <c:v>15.299999999999999</c:v>
                </c:pt>
              </c:numCache>
            </c:numRef>
          </c:val>
          <c:smooth val="0"/>
          <c:extLst>
            <c:ext xmlns:c16="http://schemas.microsoft.com/office/drawing/2014/chart" uri="{C3380CC4-5D6E-409C-BE32-E72D297353CC}">
              <c16:uniqueId val="{00000002-B706-4146-B506-30AC66A7F31C}"/>
            </c:ext>
          </c:extLst>
        </c:ser>
        <c:dLbls>
          <c:showLegendKey val="0"/>
          <c:showVal val="0"/>
          <c:showCatName val="0"/>
          <c:showSerName val="0"/>
          <c:showPercent val="0"/>
          <c:showBubbleSize val="0"/>
        </c:dLbls>
        <c:smooth val="0"/>
        <c:axId val="76520319"/>
        <c:axId val="1964275679"/>
      </c:lineChart>
      <c:catAx>
        <c:axId val="76520319"/>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75679"/>
        <c:crosses val="autoZero"/>
        <c:auto val="1"/>
        <c:lblAlgn val="ctr"/>
        <c:lblOffset val="100"/>
        <c:noMultiLvlLbl val="0"/>
      </c:catAx>
      <c:valAx>
        <c:axId val="1964275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03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511175</xdr:colOff>
      <xdr:row>66</xdr:row>
      <xdr:rowOff>152400</xdr:rowOff>
    </xdr:from>
    <xdr:to>
      <xdr:col>12</xdr:col>
      <xdr:colOff>206375</xdr:colOff>
      <xdr:row>81</xdr:row>
      <xdr:rowOff>133350</xdr:rowOff>
    </xdr:to>
    <xdr:graphicFrame macro="">
      <xdr:nvGraphicFramePr>
        <xdr:cNvPr id="2" name="Chart 1">
          <a:extLst>
            <a:ext uri="{FF2B5EF4-FFF2-40B4-BE49-F238E27FC236}">
              <a16:creationId xmlns:a16="http://schemas.microsoft.com/office/drawing/2014/main" id="{F1EBB2BE-F5E3-630C-5E35-EDBF96160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xdr:colOff>
      <xdr:row>34</xdr:row>
      <xdr:rowOff>120650</xdr:rowOff>
    </xdr:from>
    <xdr:to>
      <xdr:col>8</xdr:col>
      <xdr:colOff>127000</xdr:colOff>
      <xdr:row>43</xdr:row>
      <xdr:rowOff>136071</xdr:rowOff>
    </xdr:to>
    <xdr:graphicFrame macro="">
      <xdr:nvGraphicFramePr>
        <xdr:cNvPr id="7" name="Chart 6">
          <a:extLst>
            <a:ext uri="{FF2B5EF4-FFF2-40B4-BE49-F238E27FC236}">
              <a16:creationId xmlns:a16="http://schemas.microsoft.com/office/drawing/2014/main" id="{CAD3B6CF-FAA7-BF5B-0543-16D08ECC8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298450</xdr:colOff>
      <xdr:row>42</xdr:row>
      <xdr:rowOff>139700</xdr:rowOff>
    </xdr:from>
    <xdr:to>
      <xdr:col>7</xdr:col>
      <xdr:colOff>101600</xdr:colOff>
      <xdr:row>51</xdr:row>
      <xdr:rowOff>133350</xdr:rowOff>
    </xdr:to>
    <xdr:graphicFrame macro="">
      <xdr:nvGraphicFramePr>
        <xdr:cNvPr id="9" name="Chart 8">
          <a:extLst>
            <a:ext uri="{FF2B5EF4-FFF2-40B4-BE49-F238E27FC236}">
              <a16:creationId xmlns:a16="http://schemas.microsoft.com/office/drawing/2014/main" id="{9351E193-D39D-5DCF-D38B-B698F59D8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117929</xdr:colOff>
      <xdr:row>0</xdr:row>
      <xdr:rowOff>0</xdr:rowOff>
    </xdr:from>
    <xdr:to>
      <xdr:col>9</xdr:col>
      <xdr:colOff>163286</xdr:colOff>
      <xdr:row>4</xdr:row>
      <xdr:rowOff>145143</xdr:rowOff>
    </xdr:to>
    <xdr:graphicFrame macro="">
      <xdr:nvGraphicFramePr>
        <xdr:cNvPr id="10" name="Chart 9">
          <a:extLst>
            <a:ext uri="{FF2B5EF4-FFF2-40B4-BE49-F238E27FC236}">
              <a16:creationId xmlns:a16="http://schemas.microsoft.com/office/drawing/2014/main" id="{9410448C-6469-081D-265B-20184E7B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7</xdr:row>
      <xdr:rowOff>2721</xdr:rowOff>
    </xdr:from>
    <xdr:to>
      <xdr:col>13</xdr:col>
      <xdr:colOff>81642</xdr:colOff>
      <xdr:row>17</xdr:row>
      <xdr:rowOff>81643</xdr:rowOff>
    </xdr:to>
    <xdr:graphicFrame macro="">
      <xdr:nvGraphicFramePr>
        <xdr:cNvPr id="11" name="Chart 10">
          <a:extLst>
            <a:ext uri="{FF2B5EF4-FFF2-40B4-BE49-F238E27FC236}">
              <a16:creationId xmlns:a16="http://schemas.microsoft.com/office/drawing/2014/main" id="{F43D49A0-5669-965B-B974-3670188CB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263072</xdr:colOff>
      <xdr:row>16</xdr:row>
      <xdr:rowOff>93436</xdr:rowOff>
    </xdr:from>
    <xdr:to>
      <xdr:col>16</xdr:col>
      <xdr:colOff>127000</xdr:colOff>
      <xdr:row>28</xdr:row>
      <xdr:rowOff>172357</xdr:rowOff>
    </xdr:to>
    <xdr:graphicFrame macro="">
      <xdr:nvGraphicFramePr>
        <xdr:cNvPr id="12" name="Chart 11">
          <a:extLst>
            <a:ext uri="{FF2B5EF4-FFF2-40B4-BE49-F238E27FC236}">
              <a16:creationId xmlns:a16="http://schemas.microsoft.com/office/drawing/2014/main" id="{E41F9CD0-B3A4-5307-E6AE-02B881E4E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217715</xdr:colOff>
      <xdr:row>118</xdr:row>
      <xdr:rowOff>2722</xdr:rowOff>
    </xdr:from>
    <xdr:to>
      <xdr:col>18</xdr:col>
      <xdr:colOff>108857</xdr:colOff>
      <xdr:row>133</xdr:row>
      <xdr:rowOff>24493</xdr:rowOff>
    </xdr:to>
    <xdr:graphicFrame macro="">
      <xdr:nvGraphicFramePr>
        <xdr:cNvPr id="13" name="Chart 12">
          <a:extLst>
            <a:ext uri="{FF2B5EF4-FFF2-40B4-BE49-F238E27FC236}">
              <a16:creationId xmlns:a16="http://schemas.microsoft.com/office/drawing/2014/main" id="{C6E12737-1BFB-DAA3-B59E-BC81A08A3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5</xdr:col>
      <xdr:colOff>20544</xdr:colOff>
      <xdr:row>49</xdr:row>
      <xdr:rowOff>62380</xdr:rowOff>
    </xdr:from>
    <xdr:to>
      <xdr:col>8</xdr:col>
      <xdr:colOff>211014</xdr:colOff>
      <xdr:row>62</xdr:row>
      <xdr:rowOff>158564</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4B3DDCC5-2E5F-CD68-A72D-97395FBDC2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40250" y="9213851"/>
              <a:ext cx="140817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294715</xdr:colOff>
      <xdr:row>52</xdr:row>
      <xdr:rowOff>10085</xdr:rowOff>
    </xdr:from>
    <xdr:to>
      <xdr:col>18</xdr:col>
      <xdr:colOff>117288</xdr:colOff>
      <xdr:row>59</xdr:row>
      <xdr:rowOff>74332</xdr:rowOff>
    </xdr:to>
    <mc:AlternateContent xmlns:mc="http://schemas.openxmlformats.org/markup-compatibility/2006" xmlns:tsle="http://schemas.microsoft.com/office/drawing/2012/timeslicer">
      <mc:Choice Requires="tsle">
        <xdr:graphicFrame macro="">
          <xdr:nvGraphicFramePr>
            <xdr:cNvPr id="15" name="InvoiceDate">
              <a:extLst>
                <a:ext uri="{FF2B5EF4-FFF2-40B4-BE49-F238E27FC236}">
                  <a16:creationId xmlns:a16="http://schemas.microsoft.com/office/drawing/2014/main" id="{E4620CCC-06A0-E687-5D5E-5DDF7C968D35}"/>
                </a:ext>
              </a:extLst>
            </xdr:cNvPr>
            <xdr:cNvGraphicFramePr/>
          </xdr:nvGraphicFramePr>
          <xdr:xfrm>
            <a:off x="0" y="0"/>
            <a:ext cx="0" cy="0"/>
          </xdr:xfrm>
          <a:graphic>
            <a:graphicData uri="http://schemas.microsoft.com/office/drawing/2012/timeslicer">
              <tsle:timeslicer name="InvoiceDate"/>
            </a:graphicData>
          </a:graphic>
        </xdr:graphicFrame>
      </mc:Choice>
      <mc:Fallback xmlns="">
        <xdr:sp macro="" textlink="">
          <xdr:nvSpPr>
            <xdr:cNvPr id="0" name=""/>
            <xdr:cNvSpPr>
              <a:spLocks noTextEdit="1"/>
            </xdr:cNvSpPr>
          </xdr:nvSpPr>
          <xdr:spPr>
            <a:xfrm>
              <a:off x="6368303" y="9721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0.31567</cdr:x>
      <cdr:y>0.50231</cdr:y>
    </cdr:from>
    <cdr:to>
      <cdr:x>0.83002</cdr:x>
      <cdr:y>0.93056</cdr:y>
    </cdr:to>
    <cdr:sp macro="" textlink="">
      <cdr:nvSpPr>
        <cdr:cNvPr id="2" name="TextBox 1">
          <a:extLst xmlns:a="http://schemas.openxmlformats.org/drawingml/2006/main">
            <a:ext uri="{FF2B5EF4-FFF2-40B4-BE49-F238E27FC236}">
              <a16:creationId xmlns:a16="http://schemas.microsoft.com/office/drawing/2014/main" id="{8B8F89E9-FAC1-ACBA-BA5C-FC1B3D4F024A}"/>
            </a:ext>
          </a:extLst>
        </cdr:cNvPr>
        <cdr:cNvSpPr txBox="1"/>
      </cdr:nvSpPr>
      <cdr:spPr>
        <a:xfrm xmlns:a="http://schemas.openxmlformats.org/drawingml/2006/main">
          <a:off x="908050" y="1377950"/>
          <a:ext cx="1479550" cy="1174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solidFill>
                <a:schemeClr val="bg1"/>
              </a:solidFill>
            </a:rPr>
            <a:t>Total UnitPrice</a:t>
          </a:r>
        </a:p>
      </cdr:txBody>
    </cdr:sp>
  </cdr:relSizeAnchor>
</c:userShapes>
</file>

<file path=xl/drawings/drawing3.xml><?xml version="1.0" encoding="utf-8"?>
<c:userShapes xmlns:c="http://schemas.openxmlformats.org/drawingml/2006/chart">
  <cdr:relSizeAnchor xmlns:cdr="http://schemas.openxmlformats.org/drawingml/2006/chartDrawing">
    <cdr:from>
      <cdr:x>0.38638</cdr:x>
      <cdr:y>0.5895</cdr:y>
    </cdr:from>
    <cdr:to>
      <cdr:x>0.58638</cdr:x>
      <cdr:y>0.92283</cdr:y>
    </cdr:to>
    <cdr:sp macro="" textlink="">
      <cdr:nvSpPr>
        <cdr:cNvPr id="2" name="TextBox 1">
          <a:extLst xmlns:a="http://schemas.openxmlformats.org/drawingml/2006/main">
            <a:ext uri="{FF2B5EF4-FFF2-40B4-BE49-F238E27FC236}">
              <a16:creationId xmlns:a16="http://schemas.microsoft.com/office/drawing/2014/main" id="{D43FA924-3CA3-D69F-2661-7D8BE61BA97F}"/>
            </a:ext>
          </a:extLst>
        </cdr:cNvPr>
        <cdr:cNvSpPr txBox="1"/>
      </cdr:nvSpPr>
      <cdr:spPr>
        <a:xfrm xmlns:a="http://schemas.openxmlformats.org/drawingml/2006/main">
          <a:off x="1394984" y="909087"/>
          <a:ext cx="722086" cy="5140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solidFill>
                <a:schemeClr val="bg1"/>
              </a:solidFill>
            </a:rPr>
            <a:t>Total UnitPrice</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254000</xdr:colOff>
      <xdr:row>1</xdr:row>
      <xdr:rowOff>127000</xdr:rowOff>
    </xdr:from>
    <xdr:to>
      <xdr:col>24</xdr:col>
      <xdr:colOff>254000</xdr:colOff>
      <xdr:row>54</xdr:row>
      <xdr:rowOff>110564</xdr:rowOff>
    </xdr:to>
    <xdr:pic>
      <xdr:nvPicPr>
        <xdr:cNvPr id="8" name="Picture 7">
          <a:extLst>
            <a:ext uri="{FF2B5EF4-FFF2-40B4-BE49-F238E27FC236}">
              <a16:creationId xmlns:a16="http://schemas.microsoft.com/office/drawing/2014/main" id="{6A7BFFEC-5650-0F15-FE42-0A4DA0B34D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311727"/>
          <a:ext cx="14685818" cy="9774110"/>
        </a:xfrm>
        <a:prstGeom prst="rect">
          <a:avLst/>
        </a:prstGeom>
        <a:noFill/>
        <a:effectLst>
          <a:outerShdw dist="50800" dir="5400000" algn="ctr" rotWithShape="0">
            <a:srgbClr val="000000">
              <a:alpha val="43137"/>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460375</xdr:colOff>
      <xdr:row>18</xdr:row>
      <xdr:rowOff>95250</xdr:rowOff>
    </xdr:from>
    <xdr:to>
      <xdr:col>14</xdr:col>
      <xdr:colOff>142875</xdr:colOff>
      <xdr:row>34</xdr:row>
      <xdr:rowOff>0</xdr:rowOff>
    </xdr:to>
    <xdr:graphicFrame macro="">
      <xdr:nvGraphicFramePr>
        <xdr:cNvPr id="14" name="Chart 13">
          <a:extLst>
            <a:ext uri="{FF2B5EF4-FFF2-40B4-BE49-F238E27FC236}">
              <a16:creationId xmlns:a16="http://schemas.microsoft.com/office/drawing/2014/main" id="{2FE99666-274B-48C5-89E3-F81AB9793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381000</xdr:colOff>
      <xdr:row>28</xdr:row>
      <xdr:rowOff>46182</xdr:rowOff>
    </xdr:from>
    <xdr:ext cx="1080745" cy="280205"/>
    <xdr:sp macro="" textlink="">
      <xdr:nvSpPr>
        <xdr:cNvPr id="15" name="TextBox 14">
          <a:extLst>
            <a:ext uri="{FF2B5EF4-FFF2-40B4-BE49-F238E27FC236}">
              <a16:creationId xmlns:a16="http://schemas.microsoft.com/office/drawing/2014/main" id="{60A56F3A-F3CA-6E68-A058-C7787CF6BCC1}"/>
            </a:ext>
          </a:extLst>
        </xdr:cNvPr>
        <xdr:cNvSpPr txBox="1"/>
      </xdr:nvSpPr>
      <xdr:spPr>
        <a:xfrm>
          <a:off x="7112000" y="5218546"/>
          <a:ext cx="108074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bg1"/>
              </a:solidFill>
            </a:rPr>
            <a:t>Total Revenue</a:t>
          </a:r>
        </a:p>
      </xdr:txBody>
    </xdr:sp>
    <xdr:clientData/>
  </xdr:oneCellAnchor>
  <xdr:twoCellAnchor>
    <xdr:from>
      <xdr:col>6</xdr:col>
      <xdr:colOff>392551</xdr:colOff>
      <xdr:row>7</xdr:row>
      <xdr:rowOff>80805</xdr:rowOff>
    </xdr:from>
    <xdr:to>
      <xdr:col>9</xdr:col>
      <xdr:colOff>277092</xdr:colOff>
      <xdr:row>18</xdr:row>
      <xdr:rowOff>80818</xdr:rowOff>
    </xdr:to>
    <xdr:graphicFrame macro="">
      <xdr:nvGraphicFramePr>
        <xdr:cNvPr id="19" name="Chart 18">
          <a:extLst>
            <a:ext uri="{FF2B5EF4-FFF2-40B4-BE49-F238E27FC236}">
              <a16:creationId xmlns:a16="http://schemas.microsoft.com/office/drawing/2014/main" id="{08B13370-0C28-43F2-B5BB-DEA6C41FB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254003</xdr:colOff>
      <xdr:row>35</xdr:row>
      <xdr:rowOff>3</xdr:rowOff>
    </xdr:from>
    <xdr:to>
      <xdr:col>18</xdr:col>
      <xdr:colOff>542637</xdr:colOff>
      <xdr:row>44</xdr:row>
      <xdr:rowOff>46182</xdr:rowOff>
    </xdr:to>
    <xdr:graphicFrame macro="">
      <xdr:nvGraphicFramePr>
        <xdr:cNvPr id="22" name="Chart 21">
          <a:extLst>
            <a:ext uri="{FF2B5EF4-FFF2-40B4-BE49-F238E27FC236}">
              <a16:creationId xmlns:a16="http://schemas.microsoft.com/office/drawing/2014/main" id="{60C1E302-0B8D-4851-AD8D-8F87D4263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492126</xdr:colOff>
      <xdr:row>6</xdr:row>
      <xdr:rowOff>142876</xdr:rowOff>
    </xdr:from>
    <xdr:to>
      <xdr:col>16</xdr:col>
      <xdr:colOff>111126</xdr:colOff>
      <xdr:row>16</xdr:row>
      <xdr:rowOff>47625</xdr:rowOff>
    </xdr:to>
    <xdr:graphicFrame macro="">
      <xdr:nvGraphicFramePr>
        <xdr:cNvPr id="24" name="Chart 23">
          <a:extLst>
            <a:ext uri="{FF2B5EF4-FFF2-40B4-BE49-F238E27FC236}">
              <a16:creationId xmlns:a16="http://schemas.microsoft.com/office/drawing/2014/main" id="{1BEA584F-7BC5-46B1-9161-CA6F2CA0F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580570</xdr:colOff>
      <xdr:row>17</xdr:row>
      <xdr:rowOff>81642</xdr:rowOff>
    </xdr:from>
    <xdr:to>
      <xdr:col>18</xdr:col>
      <xdr:colOff>362857</xdr:colOff>
      <xdr:row>26</xdr:row>
      <xdr:rowOff>136070</xdr:rowOff>
    </xdr:to>
    <xdr:graphicFrame macro="">
      <xdr:nvGraphicFramePr>
        <xdr:cNvPr id="26" name="Chart 25">
          <a:extLst>
            <a:ext uri="{FF2B5EF4-FFF2-40B4-BE49-F238E27FC236}">
              <a16:creationId xmlns:a16="http://schemas.microsoft.com/office/drawing/2014/main" id="{56FF1631-B468-444F-99AA-1AC184901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412751</xdr:colOff>
      <xdr:row>33</xdr:row>
      <xdr:rowOff>162049</xdr:rowOff>
    </xdr:from>
    <xdr:to>
      <xdr:col>10</xdr:col>
      <xdr:colOff>508000</xdr:colOff>
      <xdr:row>45</xdr:row>
      <xdr:rowOff>63501</xdr:rowOff>
    </xdr:to>
    <xdr:graphicFrame macro="">
      <xdr:nvGraphicFramePr>
        <xdr:cNvPr id="27" name="Chart 26">
          <a:extLst>
            <a:ext uri="{FF2B5EF4-FFF2-40B4-BE49-F238E27FC236}">
              <a16:creationId xmlns:a16="http://schemas.microsoft.com/office/drawing/2014/main" id="{09515C66-2CDF-4651-A8F7-23EB28992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219362</xdr:colOff>
      <xdr:row>13</xdr:row>
      <xdr:rowOff>184725</xdr:rowOff>
    </xdr:from>
    <xdr:to>
      <xdr:col>9</xdr:col>
      <xdr:colOff>323272</xdr:colOff>
      <xdr:row>32</xdr:row>
      <xdr:rowOff>161636</xdr:rowOff>
    </xdr:to>
    <xdr:graphicFrame macro="">
      <xdr:nvGraphicFramePr>
        <xdr:cNvPr id="28" name="Chart 27">
          <a:extLst>
            <a:ext uri="{FF2B5EF4-FFF2-40B4-BE49-F238E27FC236}">
              <a16:creationId xmlns:a16="http://schemas.microsoft.com/office/drawing/2014/main" id="{814EB4A3-6DE0-423C-8D85-622E95F20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20</xdr:col>
      <xdr:colOff>323272</xdr:colOff>
      <xdr:row>13</xdr:row>
      <xdr:rowOff>46180</xdr:rowOff>
    </xdr:from>
    <xdr:to>
      <xdr:col>22</xdr:col>
      <xdr:colOff>507630</xdr:colOff>
      <xdr:row>26</xdr:row>
      <xdr:rowOff>168851</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D1D52DE9-3003-4C96-B0FE-08271B58316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561454" y="2447635"/>
              <a:ext cx="140817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508000</xdr:colOff>
      <xdr:row>3</xdr:row>
      <xdr:rowOff>57727</xdr:rowOff>
    </xdr:from>
    <xdr:ext cx="6414385" cy="718466"/>
    <xdr:sp macro="" textlink="">
      <xdr:nvSpPr>
        <xdr:cNvPr id="30" name="TextBox 29">
          <a:extLst>
            <a:ext uri="{FF2B5EF4-FFF2-40B4-BE49-F238E27FC236}">
              <a16:creationId xmlns:a16="http://schemas.microsoft.com/office/drawing/2014/main" id="{727D3BEA-70FC-035F-A9A5-90E8195484A1}"/>
            </a:ext>
          </a:extLst>
        </xdr:cNvPr>
        <xdr:cNvSpPr txBox="1"/>
      </xdr:nvSpPr>
      <xdr:spPr>
        <a:xfrm>
          <a:off x="508000" y="611909"/>
          <a:ext cx="6414385" cy="718466"/>
        </a:xfrm>
        <a:prstGeom prst="rect">
          <a:avLst/>
        </a:prstGeom>
        <a:noFill/>
        <a:effectLst>
          <a:outerShdw blurRad="50800" dist="50800" dir="5400000" algn="ctr" rotWithShape="0">
            <a:srgbClr val="FF3399">
              <a:alpha val="92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solidFill>
                <a:schemeClr val="bg1"/>
              </a:solidFill>
            </a:rPr>
            <a:t>E-Commerce</a:t>
          </a:r>
          <a:r>
            <a:rPr lang="en-US" sz="4000" baseline="0">
              <a:solidFill>
                <a:schemeClr val="bg1"/>
              </a:solidFill>
            </a:rPr>
            <a:t> Sales Dashboard</a:t>
          </a:r>
          <a:endParaRPr lang="en-US" sz="4000">
            <a:solidFill>
              <a:schemeClr val="bg1"/>
            </a:solidFill>
          </a:endParaRPr>
        </a:p>
      </xdr:txBody>
    </xdr:sp>
    <xdr:clientData/>
  </xdr:oneCellAnchor>
  <xdr:twoCellAnchor editAs="oneCell">
    <xdr:from>
      <xdr:col>18</xdr:col>
      <xdr:colOff>369454</xdr:colOff>
      <xdr:row>4</xdr:row>
      <xdr:rowOff>0</xdr:rowOff>
    </xdr:from>
    <xdr:to>
      <xdr:col>24</xdr:col>
      <xdr:colOff>31750</xdr:colOff>
      <xdr:row>11</xdr:row>
      <xdr:rowOff>78509</xdr:rowOff>
    </xdr:to>
    <mc:AlternateContent xmlns:mc="http://schemas.openxmlformats.org/markup-compatibility/2006" xmlns:tsle="http://schemas.microsoft.com/office/drawing/2012/timeslicer">
      <mc:Choice Requires="tsle">
        <xdr:graphicFrame macro="">
          <xdr:nvGraphicFramePr>
            <xdr:cNvPr id="31" name="InvoiceDate 1">
              <a:extLst>
                <a:ext uri="{FF2B5EF4-FFF2-40B4-BE49-F238E27FC236}">
                  <a16:creationId xmlns:a16="http://schemas.microsoft.com/office/drawing/2014/main" id="{9A23C121-45AA-48A3-9CDD-C4CC3C5B82D5}"/>
                </a:ext>
              </a:extLst>
            </xdr:cNvPr>
            <xdr:cNvGraphicFramePr/>
          </xdr:nvGraphicFramePr>
          <xdr:xfrm>
            <a:off x="0" y="0"/>
            <a:ext cx="0" cy="0"/>
          </xdr:xfrm>
          <a:graphic>
            <a:graphicData uri="http://schemas.microsoft.com/office/drawing/2012/timeslicer">
              <tsle:timeslicer name="InvoiceDate 1"/>
            </a:graphicData>
          </a:graphic>
        </xdr:graphicFrame>
      </mc:Choice>
      <mc:Fallback xmlns="">
        <xdr:sp macro="" textlink="">
          <xdr:nvSpPr>
            <xdr:cNvPr id="0" name=""/>
            <xdr:cNvSpPr>
              <a:spLocks noTextEdit="1"/>
            </xdr:cNvSpPr>
          </xdr:nvSpPr>
          <xdr:spPr>
            <a:xfrm>
              <a:off x="11383818" y="738909"/>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0.20158</cdr:x>
      <cdr:y>0.49095</cdr:y>
    </cdr:from>
    <cdr:to>
      <cdr:x>0.71593</cdr:x>
      <cdr:y>0.9192</cdr:y>
    </cdr:to>
    <cdr:sp macro="" textlink="">
      <cdr:nvSpPr>
        <cdr:cNvPr id="2" name="TextBox 1">
          <a:extLst xmlns:a="http://schemas.openxmlformats.org/drawingml/2006/main">
            <a:ext uri="{FF2B5EF4-FFF2-40B4-BE49-F238E27FC236}">
              <a16:creationId xmlns:a16="http://schemas.microsoft.com/office/drawing/2014/main" id="{8B8F89E9-FAC1-ACBA-BA5C-FC1B3D4F024A}"/>
            </a:ext>
          </a:extLst>
        </cdr:cNvPr>
        <cdr:cNvSpPr txBox="1"/>
      </cdr:nvSpPr>
      <cdr:spPr>
        <a:xfrm xmlns:a="http://schemas.openxmlformats.org/drawingml/2006/main">
          <a:off x="346764" y="997609"/>
          <a:ext cx="884820" cy="8702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solidFill>
                <a:schemeClr val="bg1"/>
              </a:solidFill>
            </a:rPr>
            <a:t>Total UnitPrice</a:t>
          </a:r>
        </a:p>
      </cdr:txBody>
    </cdr:sp>
  </cdr:relSizeAnchor>
</c:userShapes>
</file>

<file path=xl/drawings/drawing6.xml><?xml version="1.0" encoding="utf-8"?>
<c:userShapes xmlns:c="http://schemas.openxmlformats.org/drawingml/2006/chart">
  <cdr:relSizeAnchor xmlns:cdr="http://schemas.openxmlformats.org/drawingml/2006/chartDrawing">
    <cdr:from>
      <cdr:x>0.42428</cdr:x>
      <cdr:y>0.4341</cdr:y>
    </cdr:from>
    <cdr:to>
      <cdr:x>0.62428</cdr:x>
      <cdr:y>0.76743</cdr:y>
    </cdr:to>
    <cdr:sp macro="" textlink="">
      <cdr:nvSpPr>
        <cdr:cNvPr id="2" name="TextBox 1">
          <a:extLst xmlns:a="http://schemas.openxmlformats.org/drawingml/2006/main">
            <a:ext uri="{FF2B5EF4-FFF2-40B4-BE49-F238E27FC236}">
              <a16:creationId xmlns:a16="http://schemas.microsoft.com/office/drawing/2014/main" id="{D43FA924-3CA3-D69F-2661-7D8BE61BA97F}"/>
            </a:ext>
          </a:extLst>
        </cdr:cNvPr>
        <cdr:cNvSpPr txBox="1"/>
      </cdr:nvSpPr>
      <cdr:spPr>
        <a:xfrm xmlns:a="http://schemas.openxmlformats.org/drawingml/2006/main">
          <a:off x="1680190" y="741751"/>
          <a:ext cx="792018" cy="5695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solidFill>
                <a:schemeClr val="bg1"/>
              </a:solidFill>
            </a:rPr>
            <a:t>Total UnitPrice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557199305556" createdVersion="8" refreshedVersion="8" minRefreshableVersion="3" recordCount="51" xr:uid="{9DF411D7-7099-4272-89BA-41C8134CBD26}">
  <cacheSource type="worksheet">
    <worksheetSource name="Table1"/>
  </cacheSource>
  <cacheFields count="13">
    <cacheField name="InvoiceNo" numFmtId="0">
      <sharedItems containsSemiMixedTypes="0" containsString="0" containsNumber="1" containsInteger="1" minValue="536365" maxValue="536414" count="50">
        <n v="536365"/>
        <n v="536366"/>
        <n v="536367"/>
        <n v="536368"/>
        <n v="536369"/>
        <n v="536370"/>
        <n v="536371"/>
        <n v="536372"/>
        <n v="536373"/>
        <n v="536374"/>
        <n v="536375"/>
        <n v="536376"/>
        <n v="536377"/>
        <n v="536378"/>
        <n v="536379"/>
        <n v="536380"/>
        <n v="536381"/>
        <n v="536382"/>
        <n v="536383"/>
        <n v="536384"/>
        <n v="536385"/>
        <n v="536386"/>
        <n v="536387"/>
        <n v="536388"/>
        <n v="536389"/>
        <n v="536390"/>
        <n v="536391"/>
        <n v="536392"/>
        <n v="536393"/>
        <n v="536394"/>
        <n v="536395"/>
        <n v="536396"/>
        <n v="536397"/>
        <n v="536398"/>
        <n v="536399"/>
        <n v="536400"/>
        <n v="536401"/>
        <n v="536402"/>
        <n v="536403"/>
        <n v="536404"/>
        <n v="536405"/>
        <n v="536406"/>
        <n v="536407"/>
        <n v="536408"/>
        <n v="536409"/>
        <n v="536410"/>
        <n v="536411"/>
        <n v="536412"/>
        <n v="536413"/>
        <n v="536414"/>
      </sharedItems>
    </cacheField>
    <cacheField name="StockCode" numFmtId="0">
      <sharedItems containsMixedTypes="1" containsNumber="1" containsInteger="1" minValue="20725" maxValue="84991" count="51">
        <s v="85123A"/>
        <n v="71053"/>
        <s v="84406B"/>
        <s v="84029G"/>
        <n v="22752"/>
        <n v="21730"/>
        <n v="22633"/>
        <n v="22632"/>
        <n v="84879"/>
        <n v="21232"/>
        <n v="22383"/>
        <n v="20725"/>
        <n v="22382"/>
        <n v="22384"/>
        <n v="22457"/>
        <n v="47566"/>
        <n v="22835"/>
        <n v="22837"/>
        <n v="22086"/>
        <n v="22197"/>
        <n v="22355"/>
        <n v="84991"/>
        <s v="85099B"/>
        <s v="85099F"/>
        <n v="21931"/>
        <n v="22411"/>
        <n v="22629"/>
        <n v="22630"/>
        <n v="21754"/>
        <n v="21755"/>
        <n v="84832"/>
        <n v="22077"/>
        <n v="22326"/>
        <n v="22328"/>
        <n v="21212"/>
        <n v="21213"/>
        <n v="21791"/>
        <n v="21790"/>
        <n v="21977"/>
        <n v="21975"/>
        <n v="22111"/>
        <n v="22112"/>
        <n v="22113"/>
        <n v="22423"/>
        <n v="22424"/>
        <n v="22425"/>
        <n v="22426"/>
        <n v="22427"/>
        <n v="22428"/>
        <n v="22429"/>
        <n v="22430"/>
      </sharedItems>
    </cacheField>
    <cacheField name="Description" numFmtId="0">
      <sharedItems count="51">
        <s v="WHITE HANGING HEART T-LIGHT HOLDER"/>
        <s v="WHITE METAL LANTERN"/>
        <s v="CREAM CUPID HEARTS COAT HANGER"/>
        <s v="KNITTED UNION FLAG HOT WATER BOTTLE"/>
        <s v="SET 7 BABUSHKA NESTING BOXES"/>
        <s v="GLASS STAR FROSTED T-LIGHT HOLDER"/>
        <s v="HAND WARMER UNION JACK"/>
        <s v="HAND WARMER RED POLKA DOT"/>
        <s v="ASSORTED COLOUR BIRD ORNAMENT"/>
        <s v="STRAWBERRY CERAMIC TRINKET BOX"/>
        <s v="LUNCH BAG SUKI DESIGN"/>
        <s v="LUNCH BAG RED RETROSPOT"/>
        <s v="LUNCH BAG SPACEBOY DESIGN"/>
        <s v="LUNCH BAG PINK POLKADOT"/>
        <s v="NATURAL SLATE HEART CHALKBOARD"/>
        <s v="PARTY BUNTING"/>
        <s v="HOT WATER BOTTLE I AM SO POORLY"/>
        <s v="HOT WATER BOTTLE BABUSHKA"/>
        <s v="PAPER CHAIN KIT 50'S CHRISTMAS"/>
        <s v="SMALL POPCORN HOLDER"/>
        <s v="CHARLOTTE BAG SUKI DESIGN"/>
        <s v="60 TEATIME FAIRY CAKE CASES"/>
        <s v="JUMBO BAG RED RETROSPOT"/>
        <s v="JUMBO BAG STRAWBERRY"/>
        <s v="JUMBO STORAGE BAG SUKI"/>
        <s v="JUMBO SHOPPER VINTAGE RED PAISLEY"/>
        <s v="SPACEBOY LUNCH BOX"/>
        <s v="DOLLY GIRL LUNCH BOX"/>
        <s v="HOME BUILDING BLOCK WORD"/>
        <s v="LOVE BUILDING BLOCK WORD"/>
        <s v="ZINC WILLIE WINKIE CANDLE STICK"/>
        <s v="6 RIBBONS RUSTIC CHARM"/>
        <s v="ROUND SNACK BOXES SET OF 4 WOODLAND"/>
        <s v="ROUND SNACK BOXES SET OF 4 FRUITS"/>
        <s v="PACK OF 72 RETROSPOT CAKE CASES"/>
        <s v="PACK OF 72 SKULL CAKE CASES"/>
        <s v="VINTAGE HEADS AND TAILS CARD GAME"/>
        <s v="VINTAGE SNAP CARDS"/>
        <s v="PACK OF 60 PINK PAISLEY CAKE CASES"/>
        <s v="PACK OF 60 DINOSAUR CAKE CASES"/>
        <s v="SCOTTIE DOG HOT WATER BOTTLE"/>
        <s v="CHOCOLATE HOT WATER BOTTLE"/>
        <s v="GREY HEART HOT WATER BOTTLE"/>
        <s v="REGENCY CAKESTAND 3 TIER"/>
        <s v="ENAMEL BREAD BIN CREAM"/>
        <s v="ENAMEL COLANDER CREAM"/>
        <s v="ENAMEL WASH BOWL CREAM"/>
        <s v="ENAMEL FLOWER JUG CREAM"/>
        <s v="ENAMEL FIRE BUCKET CREAM"/>
        <s v="ENAMEL MEASURING JUG CREAM"/>
        <s v="ENAMEL WATERING CAN CREAM"/>
      </sharedItems>
    </cacheField>
    <cacheField name="Quantity" numFmtId="0">
      <sharedItems containsSemiMixedTypes="0" containsString="0" containsNumber="1" containsInteger="1" minValue="2" maxValue="36" count="14">
        <n v="6"/>
        <n v="8"/>
        <n v="2"/>
        <n v="12"/>
        <n v="10"/>
        <n v="16"/>
        <n v="20"/>
        <n v="15"/>
        <n v="18"/>
        <n v="5"/>
        <n v="4"/>
        <n v="24"/>
        <n v="36"/>
        <n v="3"/>
      </sharedItems>
    </cacheField>
    <cacheField name="InvoiceDate" numFmtId="22">
      <sharedItems containsSemiMixedTypes="0" containsNonDate="0" containsDate="1" containsString="0" minDate="2010-12-01T08:26:00" maxDate="2010-12-01T17:00:00" count="50">
        <d v="2010-12-01T08:26:00"/>
        <d v="2010-12-01T08:28:00"/>
        <d v="2010-12-01T08:34:00"/>
        <d v="2010-12-01T08:35:00"/>
        <d v="2010-12-01T08:45:00"/>
        <d v="2010-12-01T09:01:00"/>
        <d v="2010-12-01T09:05:00"/>
        <d v="2010-12-01T09:10:00"/>
        <d v="2010-12-01T09:12:00"/>
        <d v="2010-12-01T09:20:00"/>
        <d v="2010-12-01T09:30:00"/>
        <d v="2010-12-01T09:42:00"/>
        <d v="2010-12-01T09:50:00"/>
        <d v="2010-12-01T10:05:00"/>
        <d v="2010-12-01T10:10:00"/>
        <d v="2010-12-01T10:22:00"/>
        <d v="2010-12-01T10:35:00"/>
        <d v="2010-12-01T10:50:00"/>
        <d v="2010-12-01T11:00:00"/>
        <d v="2010-12-01T11:10:00"/>
        <d v="2010-12-01T11:20:00"/>
        <d v="2010-12-01T11:30:00"/>
        <d v="2010-12-01T11:45:00"/>
        <d v="2010-12-01T12:00:00"/>
        <d v="2010-12-01T12:05:00"/>
        <d v="2010-12-01T12:15:00"/>
        <d v="2010-12-01T12:20:00"/>
        <d v="2010-12-01T12:35:00"/>
        <d v="2010-12-01T12:40:00"/>
        <d v="2010-12-01T13:00:00"/>
        <d v="2010-12-01T13:10:00"/>
        <d v="2010-12-01T13:25:00"/>
        <d v="2010-12-01T13:30:00"/>
        <d v="2010-12-01T13:45:00"/>
        <d v="2010-12-01T14:00:00"/>
        <d v="2010-12-01T14:15:00"/>
        <d v="2010-12-01T14:25:00"/>
        <d v="2010-12-01T14:35:00"/>
        <d v="2010-12-01T14:45:00"/>
        <d v="2010-12-01T15:00:00"/>
        <d v="2010-12-01T15:10:00"/>
        <d v="2010-12-01T15:20:00"/>
        <d v="2010-12-01T15:35:00"/>
        <d v="2010-12-01T15:50:00"/>
        <d v="2010-12-01T16:00:00"/>
        <d v="2010-12-01T16:15:00"/>
        <d v="2010-12-01T16:25:00"/>
        <d v="2010-12-01T16:40:00"/>
        <d v="2010-12-01T16:50:00"/>
        <d v="2010-12-01T17:00:00"/>
      </sharedItems>
    </cacheField>
    <cacheField name="UnitPrice" numFmtId="0">
      <sharedItems containsSemiMixedTypes="0" containsString="0" containsNumber="1" minValue="0.55000000000000004" maxValue="14.95" count="21">
        <n v="2.5499999999999998"/>
        <n v="3.39"/>
        <n v="2.75"/>
        <n v="7.65"/>
        <n v="4.25"/>
        <n v="1.85"/>
        <n v="1.69"/>
        <n v="1.25"/>
        <n v="1.65"/>
        <n v="2.95"/>
        <n v="4.95"/>
        <n v="4.6500000000000004"/>
        <n v="0.85"/>
        <n v="0.55000000000000004"/>
        <n v="1.95"/>
        <n v="5.95"/>
        <n v="12.75"/>
        <n v="14.95"/>
        <n v="7.95"/>
        <n v="9.9499999999999993"/>
        <n v="12.95"/>
      </sharedItems>
    </cacheField>
    <cacheField name="CustomerID" numFmtId="0">
      <sharedItems containsSemiMixedTypes="0" containsString="0" containsNumber="1" containsInteger="1" minValue="12415" maxValue="17850"/>
    </cacheField>
    <cacheField name="Country" numFmtId="0">
      <sharedItems count="8">
        <s v="United Kingdom"/>
        <s v="France"/>
        <s v="Germany"/>
        <s v="Spain"/>
        <s v="Netherlands"/>
        <s v="Australia"/>
        <s v="Italy"/>
        <s v="Portugal"/>
      </sharedItems>
    </cacheField>
    <cacheField name="Revenue" numFmtId="0">
      <sharedItems containsSemiMixedTypes="0" containsString="0" containsNumber="1" minValue="10.199999999999999" maxValue="51" count="39">
        <n v="15.299999999999999"/>
        <n v="20.34"/>
        <n v="22"/>
        <n v="15.3"/>
        <n v="51"/>
        <n v="18.5"/>
        <n v="14.8"/>
        <n v="27.04"/>
        <n v="15"/>
        <n v="33"/>
        <n v="24.75"/>
        <n v="29.7"/>
        <n v="16.5"/>
        <n v="14.75"/>
        <n v="19.8"/>
        <n v="27.900000000000002"/>
        <n v="35.400000000000006"/>
        <n v="20.399999999999999"/>
        <n v="17"/>
        <n v="19.5"/>
        <n v="15.6"/>
        <n v="23.4"/>
        <n v="29.25"/>
        <n v="35.700000000000003"/>
        <n v="47.6"/>
        <n v="10.199999999999999"/>
        <n v="17.700000000000003"/>
        <n v="23.6"/>
        <n v="13.200000000000001"/>
        <n v="11"/>
        <n v="12.5"/>
        <n v="29.700000000000003"/>
        <n v="38.25"/>
        <n v="29.9"/>
        <n v="23.85"/>
        <n v="29.75"/>
        <n v="19.899999999999999"/>
        <n v="25.5"/>
        <n v="25.9"/>
      </sharedItems>
    </cacheField>
    <cacheField name="Month" numFmtId="0">
      <sharedItems containsSemiMixedTypes="0" containsString="0" containsNumber="1" containsInteger="1" minValue="12" maxValue="12" count="1">
        <n v="12"/>
      </sharedItems>
    </cacheField>
    <cacheField name="Year" numFmtId="0">
      <sharedItems containsSemiMixedTypes="0" containsString="0" containsNumber="1" containsInteger="1" minValue="2010" maxValue="2010" count="1">
        <n v="2010"/>
      </sharedItems>
    </cacheField>
    <cacheField name="Weekday" numFmtId="0">
      <sharedItems count="1">
        <s v="Wednesday"/>
      </sharedItems>
    </cacheField>
    <cacheField name="Field1" numFmtId="0" formula=" 0" databaseField="0"/>
  </cacheFields>
  <extLst>
    <ext xmlns:x14="http://schemas.microsoft.com/office/spreadsheetml/2009/9/main" uri="{725AE2AE-9491-48be-B2B4-4EB974FC3084}">
      <x14:pivotCacheDefinition pivotCacheId="864658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x v="0"/>
    <x v="0"/>
    <x v="0"/>
    <n v="17850"/>
    <x v="0"/>
    <x v="0"/>
    <x v="0"/>
    <x v="0"/>
    <x v="0"/>
  </r>
  <r>
    <x v="0"/>
    <x v="1"/>
    <x v="1"/>
    <x v="0"/>
    <x v="0"/>
    <x v="1"/>
    <n v="17850"/>
    <x v="0"/>
    <x v="1"/>
    <x v="0"/>
    <x v="0"/>
    <x v="0"/>
  </r>
  <r>
    <x v="1"/>
    <x v="2"/>
    <x v="2"/>
    <x v="1"/>
    <x v="1"/>
    <x v="2"/>
    <n v="13047"/>
    <x v="0"/>
    <x v="2"/>
    <x v="0"/>
    <x v="0"/>
    <x v="0"/>
  </r>
  <r>
    <x v="2"/>
    <x v="3"/>
    <x v="3"/>
    <x v="0"/>
    <x v="2"/>
    <x v="1"/>
    <n v="12583"/>
    <x v="1"/>
    <x v="1"/>
    <x v="0"/>
    <x v="0"/>
    <x v="0"/>
  </r>
  <r>
    <x v="3"/>
    <x v="4"/>
    <x v="4"/>
    <x v="2"/>
    <x v="3"/>
    <x v="3"/>
    <n v="13748"/>
    <x v="2"/>
    <x v="3"/>
    <x v="0"/>
    <x v="0"/>
    <x v="0"/>
  </r>
  <r>
    <x v="4"/>
    <x v="5"/>
    <x v="5"/>
    <x v="3"/>
    <x v="4"/>
    <x v="4"/>
    <n v="15100"/>
    <x v="3"/>
    <x v="4"/>
    <x v="0"/>
    <x v="0"/>
    <x v="0"/>
  </r>
  <r>
    <x v="5"/>
    <x v="6"/>
    <x v="6"/>
    <x v="4"/>
    <x v="5"/>
    <x v="5"/>
    <n v="15291"/>
    <x v="0"/>
    <x v="5"/>
    <x v="0"/>
    <x v="0"/>
    <x v="0"/>
  </r>
  <r>
    <x v="6"/>
    <x v="7"/>
    <x v="7"/>
    <x v="1"/>
    <x v="6"/>
    <x v="5"/>
    <n v="14688"/>
    <x v="4"/>
    <x v="6"/>
    <x v="0"/>
    <x v="0"/>
    <x v="0"/>
  </r>
  <r>
    <x v="7"/>
    <x v="8"/>
    <x v="8"/>
    <x v="5"/>
    <x v="7"/>
    <x v="6"/>
    <n v="17809"/>
    <x v="0"/>
    <x v="7"/>
    <x v="0"/>
    <x v="0"/>
    <x v="0"/>
  </r>
  <r>
    <x v="8"/>
    <x v="9"/>
    <x v="9"/>
    <x v="3"/>
    <x v="8"/>
    <x v="7"/>
    <n v="12431"/>
    <x v="5"/>
    <x v="8"/>
    <x v="0"/>
    <x v="0"/>
    <x v="0"/>
  </r>
  <r>
    <x v="9"/>
    <x v="10"/>
    <x v="10"/>
    <x v="6"/>
    <x v="9"/>
    <x v="8"/>
    <n v="14001"/>
    <x v="0"/>
    <x v="9"/>
    <x v="0"/>
    <x v="0"/>
    <x v="0"/>
  </r>
  <r>
    <x v="10"/>
    <x v="11"/>
    <x v="11"/>
    <x v="7"/>
    <x v="10"/>
    <x v="8"/>
    <n v="13089"/>
    <x v="2"/>
    <x v="10"/>
    <x v="0"/>
    <x v="0"/>
    <x v="0"/>
  </r>
  <r>
    <x v="11"/>
    <x v="12"/>
    <x v="12"/>
    <x v="8"/>
    <x v="11"/>
    <x v="8"/>
    <n v="14527"/>
    <x v="1"/>
    <x v="11"/>
    <x v="0"/>
    <x v="0"/>
    <x v="0"/>
  </r>
  <r>
    <x v="12"/>
    <x v="13"/>
    <x v="13"/>
    <x v="4"/>
    <x v="12"/>
    <x v="8"/>
    <n v="13263"/>
    <x v="0"/>
    <x v="12"/>
    <x v="0"/>
    <x v="0"/>
    <x v="0"/>
  </r>
  <r>
    <x v="13"/>
    <x v="14"/>
    <x v="14"/>
    <x v="9"/>
    <x v="13"/>
    <x v="9"/>
    <n v="13694"/>
    <x v="6"/>
    <x v="13"/>
    <x v="0"/>
    <x v="0"/>
    <x v="0"/>
  </r>
  <r>
    <x v="14"/>
    <x v="15"/>
    <x v="15"/>
    <x v="10"/>
    <x v="14"/>
    <x v="10"/>
    <n v="15061"/>
    <x v="0"/>
    <x v="14"/>
    <x v="0"/>
    <x v="0"/>
    <x v="0"/>
  </r>
  <r>
    <x v="15"/>
    <x v="16"/>
    <x v="16"/>
    <x v="0"/>
    <x v="15"/>
    <x v="11"/>
    <n v="12791"/>
    <x v="7"/>
    <x v="15"/>
    <x v="0"/>
    <x v="0"/>
    <x v="0"/>
  </r>
  <r>
    <x v="16"/>
    <x v="17"/>
    <x v="17"/>
    <x v="9"/>
    <x v="16"/>
    <x v="10"/>
    <n v="12557"/>
    <x v="1"/>
    <x v="10"/>
    <x v="0"/>
    <x v="0"/>
    <x v="0"/>
  </r>
  <r>
    <x v="17"/>
    <x v="18"/>
    <x v="18"/>
    <x v="3"/>
    <x v="17"/>
    <x v="9"/>
    <n v="14769"/>
    <x v="0"/>
    <x v="16"/>
    <x v="0"/>
    <x v="0"/>
    <x v="0"/>
  </r>
  <r>
    <x v="18"/>
    <x v="19"/>
    <x v="19"/>
    <x v="11"/>
    <x v="18"/>
    <x v="12"/>
    <n v="16029"/>
    <x v="0"/>
    <x v="17"/>
    <x v="0"/>
    <x v="0"/>
    <x v="0"/>
  </r>
  <r>
    <x v="19"/>
    <x v="20"/>
    <x v="20"/>
    <x v="6"/>
    <x v="19"/>
    <x v="12"/>
    <n v="12415"/>
    <x v="5"/>
    <x v="18"/>
    <x v="0"/>
    <x v="0"/>
    <x v="0"/>
  </r>
  <r>
    <x v="20"/>
    <x v="21"/>
    <x v="21"/>
    <x v="12"/>
    <x v="20"/>
    <x v="13"/>
    <n v="15498"/>
    <x v="0"/>
    <x v="14"/>
    <x v="0"/>
    <x v="0"/>
    <x v="0"/>
  </r>
  <r>
    <x v="21"/>
    <x v="22"/>
    <x v="22"/>
    <x v="4"/>
    <x v="21"/>
    <x v="14"/>
    <n v="16752"/>
    <x v="0"/>
    <x v="19"/>
    <x v="0"/>
    <x v="0"/>
    <x v="0"/>
  </r>
  <r>
    <x v="22"/>
    <x v="23"/>
    <x v="23"/>
    <x v="1"/>
    <x v="22"/>
    <x v="14"/>
    <n v="17377"/>
    <x v="0"/>
    <x v="20"/>
    <x v="0"/>
    <x v="0"/>
    <x v="0"/>
  </r>
  <r>
    <x v="23"/>
    <x v="24"/>
    <x v="24"/>
    <x v="3"/>
    <x v="23"/>
    <x v="14"/>
    <n v="12682"/>
    <x v="1"/>
    <x v="21"/>
    <x v="0"/>
    <x v="0"/>
    <x v="0"/>
  </r>
  <r>
    <x v="24"/>
    <x v="25"/>
    <x v="25"/>
    <x v="4"/>
    <x v="24"/>
    <x v="14"/>
    <n v="12838"/>
    <x v="2"/>
    <x v="19"/>
    <x v="0"/>
    <x v="0"/>
    <x v="0"/>
  </r>
  <r>
    <x v="25"/>
    <x v="26"/>
    <x v="26"/>
    <x v="7"/>
    <x v="25"/>
    <x v="14"/>
    <n v="17850"/>
    <x v="0"/>
    <x v="22"/>
    <x v="0"/>
    <x v="0"/>
    <x v="0"/>
  </r>
  <r>
    <x v="26"/>
    <x v="27"/>
    <x v="27"/>
    <x v="3"/>
    <x v="26"/>
    <x v="14"/>
    <n v="13047"/>
    <x v="0"/>
    <x v="21"/>
    <x v="0"/>
    <x v="0"/>
    <x v="0"/>
  </r>
  <r>
    <x v="27"/>
    <x v="28"/>
    <x v="28"/>
    <x v="0"/>
    <x v="27"/>
    <x v="15"/>
    <n v="12583"/>
    <x v="1"/>
    <x v="23"/>
    <x v="0"/>
    <x v="0"/>
    <x v="0"/>
  </r>
  <r>
    <x v="28"/>
    <x v="29"/>
    <x v="29"/>
    <x v="1"/>
    <x v="28"/>
    <x v="15"/>
    <n v="13748"/>
    <x v="2"/>
    <x v="24"/>
    <x v="0"/>
    <x v="0"/>
    <x v="0"/>
  </r>
  <r>
    <x v="29"/>
    <x v="30"/>
    <x v="30"/>
    <x v="3"/>
    <x v="29"/>
    <x v="12"/>
    <n v="15100"/>
    <x v="3"/>
    <x v="25"/>
    <x v="0"/>
    <x v="0"/>
    <x v="0"/>
  </r>
  <r>
    <x v="30"/>
    <x v="31"/>
    <x v="31"/>
    <x v="4"/>
    <x v="30"/>
    <x v="8"/>
    <n v="15291"/>
    <x v="0"/>
    <x v="12"/>
    <x v="0"/>
    <x v="0"/>
    <x v="0"/>
  </r>
  <r>
    <x v="31"/>
    <x v="32"/>
    <x v="32"/>
    <x v="0"/>
    <x v="31"/>
    <x v="9"/>
    <n v="14688"/>
    <x v="4"/>
    <x v="26"/>
    <x v="0"/>
    <x v="0"/>
    <x v="0"/>
  </r>
  <r>
    <x v="32"/>
    <x v="33"/>
    <x v="33"/>
    <x v="1"/>
    <x v="32"/>
    <x v="9"/>
    <n v="17809"/>
    <x v="0"/>
    <x v="27"/>
    <x v="0"/>
    <x v="0"/>
    <x v="0"/>
  </r>
  <r>
    <x v="33"/>
    <x v="34"/>
    <x v="34"/>
    <x v="11"/>
    <x v="33"/>
    <x v="13"/>
    <n v="12431"/>
    <x v="5"/>
    <x v="28"/>
    <x v="0"/>
    <x v="0"/>
    <x v="0"/>
  </r>
  <r>
    <x v="34"/>
    <x v="35"/>
    <x v="35"/>
    <x v="6"/>
    <x v="34"/>
    <x v="13"/>
    <n v="14001"/>
    <x v="0"/>
    <x v="29"/>
    <x v="0"/>
    <x v="0"/>
    <x v="0"/>
  </r>
  <r>
    <x v="35"/>
    <x v="36"/>
    <x v="36"/>
    <x v="4"/>
    <x v="35"/>
    <x v="7"/>
    <n v="13089"/>
    <x v="2"/>
    <x v="30"/>
    <x v="0"/>
    <x v="0"/>
    <x v="0"/>
  </r>
  <r>
    <x v="36"/>
    <x v="37"/>
    <x v="37"/>
    <x v="3"/>
    <x v="36"/>
    <x v="7"/>
    <n v="14527"/>
    <x v="1"/>
    <x v="8"/>
    <x v="0"/>
    <x v="0"/>
    <x v="0"/>
  </r>
  <r>
    <x v="37"/>
    <x v="38"/>
    <x v="38"/>
    <x v="11"/>
    <x v="37"/>
    <x v="13"/>
    <n v="13263"/>
    <x v="0"/>
    <x v="28"/>
    <x v="0"/>
    <x v="0"/>
    <x v="0"/>
  </r>
  <r>
    <x v="38"/>
    <x v="39"/>
    <x v="39"/>
    <x v="11"/>
    <x v="38"/>
    <x v="13"/>
    <n v="13694"/>
    <x v="6"/>
    <x v="28"/>
    <x v="0"/>
    <x v="0"/>
    <x v="0"/>
  </r>
  <r>
    <x v="39"/>
    <x v="40"/>
    <x v="40"/>
    <x v="9"/>
    <x v="39"/>
    <x v="10"/>
    <n v="15061"/>
    <x v="0"/>
    <x v="10"/>
    <x v="0"/>
    <x v="0"/>
    <x v="0"/>
  </r>
  <r>
    <x v="40"/>
    <x v="41"/>
    <x v="41"/>
    <x v="0"/>
    <x v="40"/>
    <x v="10"/>
    <n v="12791"/>
    <x v="7"/>
    <x v="31"/>
    <x v="0"/>
    <x v="0"/>
    <x v="0"/>
  </r>
  <r>
    <x v="41"/>
    <x v="42"/>
    <x v="42"/>
    <x v="9"/>
    <x v="41"/>
    <x v="10"/>
    <n v="12557"/>
    <x v="1"/>
    <x v="10"/>
    <x v="0"/>
    <x v="0"/>
    <x v="0"/>
  </r>
  <r>
    <x v="42"/>
    <x v="43"/>
    <x v="43"/>
    <x v="13"/>
    <x v="42"/>
    <x v="16"/>
    <n v="14769"/>
    <x v="0"/>
    <x v="32"/>
    <x v="0"/>
    <x v="0"/>
    <x v="0"/>
  </r>
  <r>
    <x v="43"/>
    <x v="44"/>
    <x v="44"/>
    <x v="2"/>
    <x v="43"/>
    <x v="17"/>
    <n v="16029"/>
    <x v="0"/>
    <x v="33"/>
    <x v="0"/>
    <x v="0"/>
    <x v="0"/>
  </r>
  <r>
    <x v="44"/>
    <x v="45"/>
    <x v="45"/>
    <x v="10"/>
    <x v="44"/>
    <x v="10"/>
    <n v="12415"/>
    <x v="5"/>
    <x v="14"/>
    <x v="0"/>
    <x v="0"/>
    <x v="0"/>
  </r>
  <r>
    <x v="45"/>
    <x v="46"/>
    <x v="46"/>
    <x v="13"/>
    <x v="45"/>
    <x v="18"/>
    <n v="15498"/>
    <x v="0"/>
    <x v="34"/>
    <x v="0"/>
    <x v="0"/>
    <x v="0"/>
  </r>
  <r>
    <x v="46"/>
    <x v="47"/>
    <x v="47"/>
    <x v="9"/>
    <x v="46"/>
    <x v="15"/>
    <n v="16752"/>
    <x v="0"/>
    <x v="35"/>
    <x v="0"/>
    <x v="0"/>
    <x v="0"/>
  </r>
  <r>
    <x v="47"/>
    <x v="48"/>
    <x v="48"/>
    <x v="2"/>
    <x v="47"/>
    <x v="19"/>
    <n v="17377"/>
    <x v="0"/>
    <x v="36"/>
    <x v="0"/>
    <x v="0"/>
    <x v="0"/>
  </r>
  <r>
    <x v="48"/>
    <x v="49"/>
    <x v="49"/>
    <x v="0"/>
    <x v="48"/>
    <x v="4"/>
    <n v="12682"/>
    <x v="1"/>
    <x v="37"/>
    <x v="0"/>
    <x v="0"/>
    <x v="0"/>
  </r>
  <r>
    <x v="49"/>
    <x v="50"/>
    <x v="50"/>
    <x v="2"/>
    <x v="49"/>
    <x v="20"/>
    <n v="12838"/>
    <x v="2"/>
    <x v="3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D81CBA-9092-481A-99C7-5678C511F7B2}"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A7:B16" firstHeaderRow="1" firstDataRow="1" firstDataCol="1"/>
  <pivotFields count="13">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9">
        <item x="5"/>
        <item x="1"/>
        <item x="2"/>
        <item x="6"/>
        <item x="4"/>
        <item x="7"/>
        <item x="3"/>
        <item x="0"/>
        <item t="default"/>
      </items>
    </pivotField>
    <pivotField showAll="0"/>
    <pivotField showAll="0"/>
    <pivotField showAll="0"/>
    <pivotField showAll="0"/>
    <pivotField dragToRow="0" dragToCol="0" dragToPage="0" showAll="0" defaultSubtotal="0"/>
  </pivotFields>
  <rowFields count="1">
    <field x="7"/>
  </rowFields>
  <rowItems count="9">
    <i>
      <x/>
    </i>
    <i>
      <x v="1"/>
    </i>
    <i>
      <x v="2"/>
    </i>
    <i>
      <x v="3"/>
    </i>
    <i>
      <x v="4"/>
    </i>
    <i>
      <x v="5"/>
    </i>
    <i>
      <x v="6"/>
    </i>
    <i>
      <x v="7"/>
    </i>
    <i t="grand">
      <x/>
    </i>
  </rowItems>
  <colItems count="1">
    <i/>
  </colItems>
  <dataFields count="1">
    <dataField name="Sum of InvoiceNo" fld="0" showDataAs="percentOfTotal" baseField="0" baseItem="0" numFmtId="10"/>
  </dataFields>
  <chartFormats count="11">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8" format="15">
      <pivotArea type="data" outline="0" fieldPosition="0">
        <references count="2">
          <reference field="4294967294" count="1" selected="0">
            <x v="0"/>
          </reference>
          <reference field="7" count="1" selected="0">
            <x v="4"/>
          </reference>
        </references>
      </pivotArea>
    </chartFormat>
    <chartFormat chart="8" format="16">
      <pivotArea type="data" outline="0" fieldPosition="0">
        <references count="2">
          <reference field="4294967294" count="1" selected="0">
            <x v="0"/>
          </reference>
          <reference field="7" count="1" selected="0">
            <x v="5"/>
          </reference>
        </references>
      </pivotArea>
    </chartFormat>
    <chartFormat chart="8" format="17">
      <pivotArea type="data" outline="0" fieldPosition="0">
        <references count="2">
          <reference field="4294967294" count="1" selected="0">
            <x v="0"/>
          </reference>
          <reference field="7" count="1" selected="0">
            <x v="6"/>
          </reference>
        </references>
      </pivotArea>
    </chartFormat>
    <chartFormat chart="8" format="18">
      <pivotArea type="data" outline="0" fieldPosition="0">
        <references count="2">
          <reference field="4294967294" count="1" selected="0">
            <x v="0"/>
          </reference>
          <reference field="7" count="1" selected="0">
            <x v="7"/>
          </reference>
        </references>
      </pivotArea>
    </chartFormat>
    <chartFormat chart="3" format="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AC9A2-C12F-470B-B559-40C0485FE25A}" name="PivotTable1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A1:A2" firstHeaderRow="1" firstDataRow="1" firstDataCol="0"/>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items count="9">
        <item x="5"/>
        <item x="1"/>
        <item x="2"/>
        <item x="6"/>
        <item x="4"/>
        <item x="7"/>
        <item x="3"/>
        <item x="0"/>
        <item t="default"/>
      </items>
    </pivotField>
    <pivotField showAll="0"/>
    <pivotField showAll="0"/>
    <pivotField showAll="0">
      <items count="2">
        <item x="0"/>
        <item t="default"/>
      </items>
    </pivotField>
    <pivotField showAll="0"/>
    <pivotField dragToRow="0" dragToCol="0" dragToPage="0" showAll="0" defaultSubtotal="0"/>
  </pivotFields>
  <rowItems count="1">
    <i/>
  </rowItems>
  <colItems count="1">
    <i/>
  </colItems>
  <dataFields count="1">
    <dataField name="Sum of UnitPrice" fld="5" baseField="0" baseItem="0"/>
  </dataFields>
  <chartFormats count="4">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6">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1FFBF-9955-4464-99A5-A5BA0CB29EEE}"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A46:B48" firstHeaderRow="1" firstDataRow="1" firstDataCol="1"/>
  <pivotFields count="13">
    <pivotField showAll="0"/>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items count="22">
        <item x="13"/>
        <item x="12"/>
        <item x="7"/>
        <item x="8"/>
        <item x="6"/>
        <item x="5"/>
        <item x="14"/>
        <item x="0"/>
        <item x="2"/>
        <item x="9"/>
        <item x="1"/>
        <item x="4"/>
        <item x="11"/>
        <item x="10"/>
        <item x="15"/>
        <item x="3"/>
        <item x="18"/>
        <item x="19"/>
        <item x="16"/>
        <item x="20"/>
        <item x="17"/>
        <item t="default"/>
      </items>
    </pivotField>
    <pivotField showAll="0"/>
    <pivotField showAll="0">
      <items count="9">
        <item x="5"/>
        <item x="1"/>
        <item x="2"/>
        <item x="6"/>
        <item x="4"/>
        <item x="7"/>
        <item x="3"/>
        <item x="0"/>
        <item t="default"/>
      </items>
    </pivotField>
    <pivotField showAll="0"/>
    <pivotField showAll="0"/>
    <pivotField axis="axisRow" showAll="0">
      <items count="2">
        <item x="0"/>
        <item t="default"/>
      </items>
    </pivotField>
    <pivotField showAll="0"/>
    <pivotField dragToRow="0" dragToCol="0" dragToPage="0" showAll="0" defaultSubtotal="0"/>
  </pivotFields>
  <rowFields count="1">
    <field x="10"/>
  </rowFields>
  <rowItems count="2">
    <i>
      <x/>
    </i>
    <i t="grand">
      <x/>
    </i>
  </rowItems>
  <colItems count="1">
    <i/>
  </colItems>
  <dataFields count="1">
    <dataField name="Sum of UnitPrice" fld="5" baseField="0" baseItem="0"/>
  </dataFields>
  <chartFormats count="5">
    <chartFormat chart="9" format="23" series="1">
      <pivotArea type="data" outline="0" fieldPosition="0">
        <references count="2">
          <reference field="4294967294" count="1" selected="0">
            <x v="0"/>
          </reference>
          <reference field="10" count="1" selected="0">
            <x v="0"/>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10" count="1" selected="0">
            <x v="0"/>
          </reference>
        </references>
      </pivotArea>
    </chartFormat>
    <chartFormat chart="20" format="28" series="1">
      <pivotArea type="data" outline="0" fieldPosition="0">
        <references count="1">
          <reference field="4294967294" count="1" selected="0">
            <x v="0"/>
          </reference>
        </references>
      </pivotArea>
    </chartFormat>
    <chartFormat chart="20" format="29">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9187E-9CEB-4052-9A0D-113CC6E317A0}"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22:B124" firstHeaderRow="1" firstDataRow="1" firstDataCol="1"/>
  <pivotFields count="13">
    <pivotField showAll="0"/>
    <pivotField showAll="0"/>
    <pivotField showAll="0"/>
    <pivotField dataField="1" showAll="0">
      <items count="15">
        <item x="2"/>
        <item x="13"/>
        <item x="10"/>
        <item x="9"/>
        <item x="0"/>
        <item x="1"/>
        <item x="4"/>
        <item x="3"/>
        <item x="7"/>
        <item x="5"/>
        <item x="8"/>
        <item x="6"/>
        <item x="11"/>
        <item x="12"/>
        <item t="default"/>
      </items>
    </pivotField>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9">
        <item x="5"/>
        <item x="1"/>
        <item x="2"/>
        <item x="6"/>
        <item x="4"/>
        <item x="7"/>
        <item x="3"/>
        <item x="0"/>
        <item t="default"/>
      </items>
    </pivotField>
    <pivotField showAll="0">
      <items count="40">
        <item x="25"/>
        <item x="29"/>
        <item x="30"/>
        <item x="28"/>
        <item x="13"/>
        <item x="6"/>
        <item x="8"/>
        <item x="0"/>
        <item x="3"/>
        <item x="20"/>
        <item x="12"/>
        <item x="18"/>
        <item x="26"/>
        <item x="5"/>
        <item x="19"/>
        <item x="14"/>
        <item x="36"/>
        <item x="1"/>
        <item x="17"/>
        <item x="2"/>
        <item x="21"/>
        <item x="27"/>
        <item x="34"/>
        <item x="10"/>
        <item x="37"/>
        <item x="38"/>
        <item x="7"/>
        <item x="15"/>
        <item x="22"/>
        <item x="11"/>
        <item x="31"/>
        <item x="35"/>
        <item x="33"/>
        <item x="9"/>
        <item x="16"/>
        <item x="23"/>
        <item x="32"/>
        <item x="24"/>
        <item x="4"/>
        <item t="default"/>
      </items>
    </pivotField>
    <pivotField showAll="0">
      <items count="2">
        <item x="0"/>
        <item t="default"/>
      </items>
    </pivotField>
    <pivotField showAll="0"/>
    <pivotField axis="axisRow" showAll="0">
      <items count="2">
        <item x="0"/>
        <item t="default"/>
      </items>
    </pivotField>
    <pivotField dragToRow="0" dragToCol="0" dragToPage="0" showAll="0" defaultSubtotal="0"/>
  </pivotFields>
  <rowFields count="1">
    <field x="11"/>
  </rowFields>
  <rowItems count="2">
    <i>
      <x/>
    </i>
    <i t="grand">
      <x/>
    </i>
  </rowItems>
  <colItems count="1">
    <i/>
  </colItems>
  <dataFields count="1">
    <dataField name="Sum of Quantity" fld="3"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60ABA-D55C-4C77-B45B-FEA31326AC4B}"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A53:B62" firstHeaderRow="1" firstDataRow="1" firstDataCol="1"/>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9">
        <item x="5"/>
        <item x="1"/>
        <item x="2"/>
        <item x="6"/>
        <item x="4"/>
        <item x="7"/>
        <item x="3"/>
        <item x="0"/>
        <item t="default"/>
      </items>
    </pivotField>
    <pivotField dataField="1" showAll="0"/>
    <pivotField showAll="0"/>
    <pivotField showAll="0"/>
    <pivotField showAll="0"/>
    <pivotField dragToRow="0" dragToCol="0" dragToPage="0" showAll="0" defaultSubtotal="0"/>
  </pivotFields>
  <rowFields count="1">
    <field x="7"/>
  </rowFields>
  <rowItems count="9">
    <i>
      <x/>
    </i>
    <i>
      <x v="1"/>
    </i>
    <i>
      <x v="2"/>
    </i>
    <i>
      <x v="3"/>
    </i>
    <i>
      <x v="4"/>
    </i>
    <i>
      <x v="5"/>
    </i>
    <i>
      <x v="6"/>
    </i>
    <i>
      <x v="7"/>
    </i>
    <i t="grand">
      <x/>
    </i>
  </rowItems>
  <colItems count="1">
    <i/>
  </colItems>
  <dataFields count="1">
    <dataField name="Sum of Revenue" fld="8" baseField="0" baseItem="0"/>
  </dataFields>
  <chartFormats count="10">
    <chartFormat chart="14" format="0"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3"/>
          </reference>
        </references>
      </pivotArea>
    </chartFormat>
    <chartFormat chart="19" format="15">
      <pivotArea type="data" outline="0" fieldPosition="0">
        <references count="2">
          <reference field="4294967294" count="1" selected="0">
            <x v="0"/>
          </reference>
          <reference field="7" count="1" selected="0">
            <x v="4"/>
          </reference>
        </references>
      </pivotArea>
    </chartFormat>
    <chartFormat chart="19" format="16">
      <pivotArea type="data" outline="0" fieldPosition="0">
        <references count="2">
          <reference field="4294967294" count="1" selected="0">
            <x v="0"/>
          </reference>
          <reference field="7" count="1" selected="0">
            <x v="5"/>
          </reference>
        </references>
      </pivotArea>
    </chartFormat>
    <chartFormat chart="19" format="17">
      <pivotArea type="data" outline="0" fieldPosition="0">
        <references count="2">
          <reference field="4294967294" count="1" selected="0">
            <x v="0"/>
          </reference>
          <reference field="7" count="1" selected="0">
            <x v="6"/>
          </reference>
        </references>
      </pivotArea>
    </chartFormat>
    <chartFormat chart="19" format="1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D3A60-FEB1-4D74-A52C-79C5A3FED49D}"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5" fieldListSortAscending="1">
  <location ref="A36:B38" firstHeaderRow="1" firstDataRow="1" firstDataCol="1"/>
  <pivotFields count="13">
    <pivotField showAll="0"/>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9">
        <item x="5"/>
        <item x="1"/>
        <item x="2"/>
        <item x="6"/>
        <item x="4"/>
        <item x="7"/>
        <item x="3"/>
        <item x="0"/>
        <item t="default"/>
      </items>
    </pivotField>
    <pivotField dataField="1" showAll="0">
      <items count="40">
        <item x="25"/>
        <item x="29"/>
        <item x="30"/>
        <item x="28"/>
        <item x="13"/>
        <item x="6"/>
        <item x="8"/>
        <item x="0"/>
        <item x="3"/>
        <item x="20"/>
        <item x="12"/>
        <item x="18"/>
        <item x="26"/>
        <item x="5"/>
        <item x="19"/>
        <item x="14"/>
        <item x="36"/>
        <item x="1"/>
        <item x="17"/>
        <item x="2"/>
        <item x="21"/>
        <item x="27"/>
        <item x="34"/>
        <item x="10"/>
        <item x="37"/>
        <item x="38"/>
        <item x="7"/>
        <item x="15"/>
        <item x="22"/>
        <item x="11"/>
        <item x="31"/>
        <item x="35"/>
        <item x="33"/>
        <item x="9"/>
        <item x="16"/>
        <item x="23"/>
        <item x="32"/>
        <item x="24"/>
        <item x="4"/>
        <item t="default"/>
      </items>
    </pivotField>
    <pivotField axis="axisRow" showAll="0">
      <items count="2">
        <item x="0"/>
        <item t="default"/>
      </items>
    </pivotField>
    <pivotField showAll="0"/>
    <pivotField showAll="0"/>
    <pivotField dragToRow="0" dragToCol="0" dragToPage="0" showAll="0" defaultSubtotal="0"/>
  </pivotFields>
  <rowFields count="1">
    <field x="9"/>
  </rowFields>
  <rowItems count="2">
    <i>
      <x/>
    </i>
    <i t="grand">
      <x/>
    </i>
  </rowItems>
  <colItems count="1">
    <i/>
  </colItems>
  <dataFields count="1">
    <dataField name="Sum of Revenue" fld="8" showDataAs="percentOfTotal" baseField="0" baseItem="0" numFmtId="10"/>
  </dataFields>
  <chartFormats count="8">
    <chartFormat chart="3" format="10"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9" count="1" selected="0">
            <x v="0"/>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9" count="1" selected="0">
            <x v="0"/>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9" count="1" selected="0">
            <x v="0"/>
          </reference>
        </references>
      </pivotArea>
    </chartFormat>
    <chartFormat chart="23" format="15" series="1">
      <pivotArea type="data" outline="0" fieldPosition="0">
        <references count="1">
          <reference field="4294967294" count="1" selected="0">
            <x v="0"/>
          </reference>
        </references>
      </pivotArea>
    </chartFormat>
    <chartFormat chart="23" format="1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90BB76-1BD5-4D16-9CAC-E9A4E32E632F}"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location ref="A20:B29" firstHeaderRow="1" firstDataRow="1" firstDataCol="1"/>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9">
        <item x="5"/>
        <item x="1"/>
        <item x="2"/>
        <item x="6"/>
        <item x="4"/>
        <item x="7"/>
        <item x="3"/>
        <item x="0"/>
        <item t="default"/>
      </items>
    </pivotField>
    <pivotField dataField="1" showAll="0"/>
    <pivotField showAll="0"/>
    <pivotField showAll="0"/>
    <pivotField showAll="0"/>
    <pivotField dragToRow="0" dragToCol="0" dragToPage="0" showAll="0" defaultSubtotal="0"/>
  </pivotFields>
  <rowFields count="1">
    <field x="7"/>
  </rowFields>
  <rowItems count="9">
    <i>
      <x/>
    </i>
    <i>
      <x v="1"/>
    </i>
    <i>
      <x v="2"/>
    </i>
    <i>
      <x v="3"/>
    </i>
    <i>
      <x v="4"/>
    </i>
    <i>
      <x v="5"/>
    </i>
    <i>
      <x v="6"/>
    </i>
    <i>
      <x v="7"/>
    </i>
    <i t="grand">
      <x/>
    </i>
  </rowItems>
  <colItems count="1">
    <i/>
  </colItems>
  <dataFields count="1">
    <dataField name="Sum of Revenue" fld="8" baseField="0" baseItem="0"/>
  </dataFields>
  <chartFormats count="11">
    <chartFormat chart="14" format="0"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3"/>
          </reference>
        </references>
      </pivotArea>
    </chartFormat>
    <chartFormat chart="19" format="15">
      <pivotArea type="data" outline="0" fieldPosition="0">
        <references count="2">
          <reference field="4294967294" count="1" selected="0">
            <x v="0"/>
          </reference>
          <reference field="7" count="1" selected="0">
            <x v="4"/>
          </reference>
        </references>
      </pivotArea>
    </chartFormat>
    <chartFormat chart="19" format="16">
      <pivotArea type="data" outline="0" fieldPosition="0">
        <references count="2">
          <reference field="4294967294" count="1" selected="0">
            <x v="0"/>
          </reference>
          <reference field="7" count="1" selected="0">
            <x v="5"/>
          </reference>
        </references>
      </pivotArea>
    </chartFormat>
    <chartFormat chart="19" format="17">
      <pivotArea type="data" outline="0" fieldPosition="0">
        <references count="2">
          <reference field="4294967294" count="1" selected="0">
            <x v="0"/>
          </reference>
          <reference field="7" count="1" selected="0">
            <x v="6"/>
          </reference>
        </references>
      </pivotArea>
    </chartFormat>
    <chartFormat chart="19" format="18">
      <pivotArea type="data" outline="0" fieldPosition="0">
        <references count="2">
          <reference field="4294967294" count="1" selected="0">
            <x v="0"/>
          </reference>
          <reference field="7" count="1" selected="0">
            <x v="7"/>
          </reference>
        </references>
      </pivotArea>
    </chartFormat>
    <chartFormat chart="14" format="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A802AD-7789-4F63-AF9E-9B312A7F150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67:D119" firstHeaderRow="0" firstDataRow="1" firstDataCol="1"/>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2">
        <item x="11"/>
        <item x="34"/>
        <item x="35"/>
        <item x="9"/>
        <item x="5"/>
        <item x="28"/>
        <item x="29"/>
        <item x="37"/>
        <item x="36"/>
        <item x="24"/>
        <item x="39"/>
        <item x="38"/>
        <item x="31"/>
        <item x="18"/>
        <item x="40"/>
        <item x="41"/>
        <item x="42"/>
        <item x="19"/>
        <item x="32"/>
        <item x="33"/>
        <item x="20"/>
        <item x="12"/>
        <item x="10"/>
        <item x="13"/>
        <item x="25"/>
        <item x="43"/>
        <item x="44"/>
        <item x="45"/>
        <item x="46"/>
        <item x="47"/>
        <item x="48"/>
        <item x="49"/>
        <item x="50"/>
        <item x="14"/>
        <item x="26"/>
        <item x="27"/>
        <item x="7"/>
        <item x="6"/>
        <item x="4"/>
        <item x="16"/>
        <item x="17"/>
        <item x="15"/>
        <item x="1"/>
        <item x="30"/>
        <item x="8"/>
        <item x="21"/>
        <item x="3"/>
        <item x="2"/>
        <item x="22"/>
        <item x="23"/>
        <item x="0"/>
        <item t="default"/>
      </items>
    </pivotField>
    <pivotField showAll="0"/>
    <pivotField dataField="1" showAll="0"/>
    <pivotField numFmtId="22"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items count="9">
        <item x="5"/>
        <item x="1"/>
        <item x="2"/>
        <item x="6"/>
        <item x="4"/>
        <item x="7"/>
        <item x="3"/>
        <item x="0"/>
        <item t="default"/>
      </items>
    </pivotField>
    <pivotField dataField="1" showAll="0"/>
    <pivotField showAll="0"/>
    <pivotField showAll="0"/>
    <pivotField showAll="0"/>
    <pivotField dragToRow="0" dragToCol="0" dragToPage="0" showAll="0" defaultSubtotal="0"/>
  </pivotFields>
  <rowFields count="1">
    <field x="1"/>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3">
    <i>
      <x/>
    </i>
    <i i="1">
      <x v="1"/>
    </i>
    <i i="2">
      <x v="2"/>
    </i>
  </colItems>
  <dataFields count="3">
    <dataField name="Sum of UnitPrice" fld="5" baseField="0" baseItem="0"/>
    <dataField name="Sum of Quantity" fld="3" baseField="0" baseItem="0"/>
    <dataField name="Sum of Revenue"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E9037E9-0B7A-4E5A-BFB9-829607FFA0BC}" sourceName="Country">
  <pivotTables>
    <pivotTable tabId="3" name="PivotTable18"/>
    <pivotTable tabId="3" name="PivotTable14"/>
    <pivotTable tabId="3" name="PivotTable15"/>
    <pivotTable tabId="3" name="PivotTable16"/>
    <pivotTable tabId="3" name="PivotTable17"/>
    <pivotTable tabId="3" name="PivotTable19"/>
    <pivotTable tabId="3" name="PivotTable3"/>
    <pivotTable tabId="3" name="PivotTable9"/>
  </pivotTables>
  <data>
    <tabular pivotCacheId="864658721">
      <items count="8">
        <i x="5" s="1"/>
        <i x="1" s="1"/>
        <i x="2" s="1"/>
        <i x="6" s="1"/>
        <i x="4" s="1"/>
        <i x="7"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97C5D11-CE5A-4D12-A044-DAFB8084742F}" cache="Slicer_Country" caption="Country"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30CCA09-1787-4279-8D1F-4568ACD31270}" cache="Slicer_Country" caption="Country"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ED7FA7-5024-4F52-BBCC-151F0456CB81}" name="Table1" displayName="Table1" ref="A1:L52" totalsRowShown="0" headerRowDxfId="1">
  <autoFilter ref="A1:L52" xr:uid="{DCED7FA7-5024-4F52-BBCC-151F0456CB81}"/>
  <tableColumns count="12">
    <tableColumn id="1" xr3:uid="{396198E7-82ED-440D-8640-851091E8C399}" name="InvoiceNo"/>
    <tableColumn id="2" xr3:uid="{8DD1E97F-1518-4B1C-9FE7-2F154E9C2C91}" name="StockCode"/>
    <tableColumn id="3" xr3:uid="{62C1E573-2D7B-439B-83EC-2C35CBB061DB}" name="Description"/>
    <tableColumn id="4" xr3:uid="{D94FD4AE-D763-4F69-9D5A-9B1FD0738D07}" name="Quantity"/>
    <tableColumn id="5" xr3:uid="{EE61EC9A-EEC1-4A61-8A94-2AF7B4A37409}" name="InvoiceDate" dataDxfId="0"/>
    <tableColumn id="6" xr3:uid="{D87493A2-3AA5-40F8-AB98-FC373479E133}" name="UnitPrice"/>
    <tableColumn id="7" xr3:uid="{B448E648-4013-45B2-9883-993843008194}" name="CustomerID"/>
    <tableColumn id="8" xr3:uid="{E6F27383-7CDF-4148-A06D-3DA1A8D6C712}" name="Country"/>
    <tableColumn id="9" xr3:uid="{122DDA97-3980-49DE-819B-B0D778436D2A}" name="Revenue">
      <calculatedColumnFormula>F2*D2</calculatedColumnFormula>
    </tableColumn>
    <tableColumn id="10" xr3:uid="{3D9366EB-854F-457A-BA61-2EBCF98E743E}" name="Month">
      <calculatedColumnFormula>MONTH(E2)</calculatedColumnFormula>
    </tableColumn>
    <tableColumn id="11" xr3:uid="{D2DD67E6-9D79-44BE-A5E7-C2B1AC6E539F}" name="Year">
      <calculatedColumnFormula>YEAR(E2)</calculatedColumnFormula>
    </tableColumn>
    <tableColumn id="12" xr3:uid="{51455643-ADE0-4B30-A35B-10F05AC8E2EA}" name="Weekday">
      <calculatedColumnFormula>TEXT(E2,"DDDD")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Date" xr10:uid="{F1A2EE8B-7011-4EAF-A7C2-E4F97A84010B}" sourceName="InvoiceDate">
  <pivotTables>
    <pivotTable tabId="3" name="PivotTable18"/>
    <pivotTable tabId="3" name="PivotTable14"/>
    <pivotTable tabId="3" name="PivotTable15"/>
    <pivotTable tabId="3" name="PivotTable16"/>
    <pivotTable tabId="3" name="PivotTable17"/>
    <pivotTable tabId="3" name="PivotTable19"/>
    <pivotTable tabId="3" name="PivotTable3"/>
    <pivotTable tabId="3" name="PivotTable9"/>
  </pivotTables>
  <state minimalRefreshVersion="6" lastRefreshVersion="6" pivotCacheId="864658721" filterType="unknown">
    <bounds startDate="2010-01-01T08:26:00" endDate="2011-01-01T17: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Date" xr10:uid="{D6994526-358D-46E9-A9E5-5BD0EA47D03F}" cache="NativeTimeline_InvoiceDate" caption="InvoiceDate" level="2" selectionLevel="2" scrollPosition="2010-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Date 1" xr10:uid="{B3523857-A218-464E-BD4A-CB430A465094}" cache="NativeTimeline_InvoiceDate" caption="InvoiceDate" level="2" selectionLevel="2" scrollPosition="2010-06-06T00:00:00" style="TimeSlicerStyleLight5 2"/>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9">
    <wetp:webextensionref xmlns:r="http://schemas.openxmlformats.org/officeDocument/2006/relationships" r:id="rId1"/>
  </wetp:taskpane>
  <wetp:taskpane dockstate="right" visibility="0" width="525"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4E58E5F-A52B-47C7-9A0F-26B192814D7C}">
  <we:reference id="wa104379999" version="1.0.0.0" store="en-US" storeType="OMEX"/>
  <we:alternateReferences>
    <we:reference id="wa104379999" version="1.0.0.0" store="wa10437999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90E53A31-0FF2-4521-B57F-98F81C6F3931}">
  <we:reference id="wa200005502" version="1.0.0.13" store="en-US" storeType="OMEX"/>
  <we:alternateReferences>
    <we:reference id="wa200005502" version="1.0.0.13" store="wa200005502" storeType="OMEX"/>
  </we:alternateReferences>
  <we:properties>
    <we:property name="docId" value="&quot;q-2kjXTh4xFQVMJyJ8Cm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326A5-B82A-4ABB-BF63-464B4786016F}">
  <dimension ref="A1:D124"/>
  <sheetViews>
    <sheetView topLeftCell="A46" zoomScale="85" zoomScaleNormal="85" workbookViewId="0">
      <selection activeCell="B55" sqref="A53:B62"/>
    </sheetView>
  </sheetViews>
  <sheetFormatPr defaultRowHeight="14.5" x14ac:dyDescent="0.35"/>
  <cols>
    <col min="1" max="1" width="13.1796875" bestFit="1" customWidth="1"/>
    <col min="2" max="2" width="15.1796875" bestFit="1" customWidth="1"/>
    <col min="3" max="4" width="14.7265625" bestFit="1" customWidth="1"/>
    <col min="5" max="5" width="6.81640625" bestFit="1" customWidth="1"/>
    <col min="6" max="6" width="5.81640625" bestFit="1" customWidth="1"/>
    <col min="7" max="7" width="4.81640625" bestFit="1" customWidth="1"/>
    <col min="8" max="8" width="6.81640625" bestFit="1" customWidth="1"/>
    <col min="9" max="10" width="4.81640625" bestFit="1" customWidth="1"/>
    <col min="11" max="12" width="5.81640625" bestFit="1" customWidth="1"/>
    <col min="13" max="14" width="4.81640625" bestFit="1" customWidth="1"/>
    <col min="15" max="16" width="6.81640625" bestFit="1" customWidth="1"/>
    <col min="17" max="17" width="4.81640625" bestFit="1" customWidth="1"/>
    <col min="18" max="18" width="5.81640625" bestFit="1" customWidth="1"/>
    <col min="19" max="19" width="4.81640625" bestFit="1" customWidth="1"/>
    <col min="20" max="22" width="5.81640625" bestFit="1" customWidth="1"/>
    <col min="23" max="23" width="10.7265625" bestFit="1" customWidth="1"/>
  </cols>
  <sheetData>
    <row r="1" spans="1:2" x14ac:dyDescent="0.35">
      <c r="A1" t="s">
        <v>80</v>
      </c>
    </row>
    <row r="2" spans="1:2" x14ac:dyDescent="0.35">
      <c r="A2" s="7">
        <v>185.16999999999996</v>
      </c>
    </row>
    <row r="7" spans="1:2" x14ac:dyDescent="0.35">
      <c r="A7" s="4" t="s">
        <v>76</v>
      </c>
      <c r="B7" t="s">
        <v>82</v>
      </c>
    </row>
    <row r="8" spans="1:2" x14ac:dyDescent="0.35">
      <c r="A8" s="5" t="s">
        <v>30</v>
      </c>
      <c r="B8" s="6">
        <v>7.8431662124065646E-2</v>
      </c>
    </row>
    <row r="9" spans="1:2" x14ac:dyDescent="0.35">
      <c r="A9" s="5" t="s">
        <v>20</v>
      </c>
      <c r="B9" s="6">
        <v>0.15686317802706845</v>
      </c>
    </row>
    <row r="10" spans="1:2" x14ac:dyDescent="0.35">
      <c r="A10" s="5" t="s">
        <v>22</v>
      </c>
      <c r="B10" s="6">
        <v>0.11764723729923848</v>
      </c>
    </row>
    <row r="11" spans="1:2" x14ac:dyDescent="0.35">
      <c r="A11" s="5" t="s">
        <v>36</v>
      </c>
      <c r="B11" s="6">
        <v>3.9215794506767113E-2</v>
      </c>
    </row>
    <row r="12" spans="1:2" x14ac:dyDescent="0.35">
      <c r="A12" s="5" t="s">
        <v>27</v>
      </c>
      <c r="B12" s="6">
        <v>3.9215282733047127E-2</v>
      </c>
    </row>
    <row r="13" spans="1:2" x14ac:dyDescent="0.35">
      <c r="A13" s="5" t="s">
        <v>39</v>
      </c>
      <c r="B13" s="6">
        <v>3.9215940727829961E-2</v>
      </c>
    </row>
    <row r="14" spans="1:2" x14ac:dyDescent="0.35">
      <c r="A14" s="5" t="s">
        <v>24</v>
      </c>
      <c r="B14" s="6">
        <v>3.9215136511984279E-2</v>
      </c>
    </row>
    <row r="15" spans="1:2" x14ac:dyDescent="0.35">
      <c r="A15" s="5" t="s">
        <v>14</v>
      </c>
      <c r="B15" s="6">
        <v>0.49019576806999893</v>
      </c>
    </row>
    <row r="16" spans="1:2" x14ac:dyDescent="0.35">
      <c r="A16" s="5" t="s">
        <v>77</v>
      </c>
      <c r="B16" s="6">
        <v>1</v>
      </c>
    </row>
    <row r="20" spans="1:2" x14ac:dyDescent="0.35">
      <c r="A20" s="4" t="s">
        <v>76</v>
      </c>
      <c r="B20" t="s">
        <v>78</v>
      </c>
    </row>
    <row r="21" spans="1:2" x14ac:dyDescent="0.35">
      <c r="A21" s="5" t="s">
        <v>30</v>
      </c>
      <c r="B21" s="7">
        <v>65</v>
      </c>
    </row>
    <row r="22" spans="1:2" x14ac:dyDescent="0.35">
      <c r="A22" s="5" t="s">
        <v>20</v>
      </c>
      <c r="B22" s="7">
        <v>199.14</v>
      </c>
    </row>
    <row r="23" spans="1:2" x14ac:dyDescent="0.35">
      <c r="A23" s="5" t="s">
        <v>22</v>
      </c>
      <c r="B23" s="7">
        <v>145.55000000000001</v>
      </c>
    </row>
    <row r="24" spans="1:2" x14ac:dyDescent="0.35">
      <c r="A24" s="5" t="s">
        <v>36</v>
      </c>
      <c r="B24" s="7">
        <v>27.950000000000003</v>
      </c>
    </row>
    <row r="25" spans="1:2" x14ac:dyDescent="0.35">
      <c r="A25" s="5" t="s">
        <v>27</v>
      </c>
      <c r="B25" s="7">
        <v>32.5</v>
      </c>
    </row>
    <row r="26" spans="1:2" x14ac:dyDescent="0.35">
      <c r="A26" s="5" t="s">
        <v>39</v>
      </c>
      <c r="B26" s="7">
        <v>57.600000000000009</v>
      </c>
    </row>
    <row r="27" spans="1:2" x14ac:dyDescent="0.35">
      <c r="A27" s="5" t="s">
        <v>24</v>
      </c>
      <c r="B27" s="7">
        <v>61.2</v>
      </c>
    </row>
    <row r="28" spans="1:2" x14ac:dyDescent="0.35">
      <c r="A28" s="5" t="s">
        <v>14</v>
      </c>
      <c r="B28" s="7">
        <v>566.53</v>
      </c>
    </row>
    <row r="29" spans="1:2" x14ac:dyDescent="0.35">
      <c r="A29" s="5" t="s">
        <v>77</v>
      </c>
      <c r="B29" s="7">
        <v>1155.47</v>
      </c>
    </row>
    <row r="36" spans="1:2" x14ac:dyDescent="0.35">
      <c r="A36" s="4" t="s">
        <v>76</v>
      </c>
      <c r="B36" t="s">
        <v>78</v>
      </c>
    </row>
    <row r="37" spans="1:2" x14ac:dyDescent="0.35">
      <c r="A37" s="5">
        <v>12</v>
      </c>
      <c r="B37" s="6">
        <v>1</v>
      </c>
    </row>
    <row r="38" spans="1:2" x14ac:dyDescent="0.35">
      <c r="A38" s="5" t="s">
        <v>77</v>
      </c>
      <c r="B38" s="6">
        <v>1</v>
      </c>
    </row>
    <row r="46" spans="1:2" x14ac:dyDescent="0.35">
      <c r="A46" s="4" t="s">
        <v>76</v>
      </c>
      <c r="B46" t="s">
        <v>80</v>
      </c>
    </row>
    <row r="47" spans="1:2" x14ac:dyDescent="0.35">
      <c r="A47" s="5">
        <v>2010</v>
      </c>
      <c r="B47" s="7">
        <v>185.16999999999996</v>
      </c>
    </row>
    <row r="48" spans="1:2" x14ac:dyDescent="0.35">
      <c r="A48" s="5" t="s">
        <v>77</v>
      </c>
      <c r="B48" s="7">
        <v>185.16999999999996</v>
      </c>
    </row>
    <row r="53" spans="1:2" x14ac:dyDescent="0.35">
      <c r="A53" s="4" t="s">
        <v>76</v>
      </c>
      <c r="B53" t="s">
        <v>78</v>
      </c>
    </row>
    <row r="54" spans="1:2" x14ac:dyDescent="0.35">
      <c r="A54" s="5" t="s">
        <v>30</v>
      </c>
      <c r="B54" s="7">
        <v>65</v>
      </c>
    </row>
    <row r="55" spans="1:2" x14ac:dyDescent="0.35">
      <c r="A55" s="5" t="s">
        <v>20</v>
      </c>
      <c r="B55" s="7">
        <v>199.14</v>
      </c>
    </row>
    <row r="56" spans="1:2" x14ac:dyDescent="0.35">
      <c r="A56" s="5" t="s">
        <v>22</v>
      </c>
      <c r="B56" s="7">
        <v>145.55000000000001</v>
      </c>
    </row>
    <row r="57" spans="1:2" x14ac:dyDescent="0.35">
      <c r="A57" s="5" t="s">
        <v>36</v>
      </c>
      <c r="B57" s="7">
        <v>27.950000000000003</v>
      </c>
    </row>
    <row r="58" spans="1:2" x14ac:dyDescent="0.35">
      <c r="A58" s="5" t="s">
        <v>27</v>
      </c>
      <c r="B58" s="7">
        <v>32.5</v>
      </c>
    </row>
    <row r="59" spans="1:2" x14ac:dyDescent="0.35">
      <c r="A59" s="5" t="s">
        <v>39</v>
      </c>
      <c r="B59" s="7">
        <v>57.600000000000009</v>
      </c>
    </row>
    <row r="60" spans="1:2" x14ac:dyDescent="0.35">
      <c r="A60" s="5" t="s">
        <v>24</v>
      </c>
      <c r="B60" s="7">
        <v>61.2</v>
      </c>
    </row>
    <row r="61" spans="1:2" x14ac:dyDescent="0.35">
      <c r="A61" s="5" t="s">
        <v>14</v>
      </c>
      <c r="B61" s="7">
        <v>566.53</v>
      </c>
    </row>
    <row r="62" spans="1:2" x14ac:dyDescent="0.35">
      <c r="A62" s="5" t="s">
        <v>77</v>
      </c>
      <c r="B62" s="7">
        <v>1155.47</v>
      </c>
    </row>
    <row r="67" spans="1:4" x14ac:dyDescent="0.35">
      <c r="A67" s="4" t="s">
        <v>76</v>
      </c>
      <c r="B67" t="s">
        <v>80</v>
      </c>
      <c r="C67" t="s">
        <v>81</v>
      </c>
      <c r="D67" t="s">
        <v>78</v>
      </c>
    </row>
    <row r="68" spans="1:4" x14ac:dyDescent="0.35">
      <c r="A68" s="5">
        <v>20725</v>
      </c>
      <c r="B68" s="7">
        <v>1.65</v>
      </c>
      <c r="C68" s="7">
        <v>15</v>
      </c>
      <c r="D68" s="7">
        <v>24.75</v>
      </c>
    </row>
    <row r="69" spans="1:4" x14ac:dyDescent="0.35">
      <c r="A69" s="5">
        <v>21212</v>
      </c>
      <c r="B69" s="7">
        <v>0.55000000000000004</v>
      </c>
      <c r="C69" s="7">
        <v>24</v>
      </c>
      <c r="D69" s="7">
        <v>13.200000000000001</v>
      </c>
    </row>
    <row r="70" spans="1:4" x14ac:dyDescent="0.35">
      <c r="A70" s="5">
        <v>21213</v>
      </c>
      <c r="B70" s="7">
        <v>0.55000000000000004</v>
      </c>
      <c r="C70" s="7">
        <v>20</v>
      </c>
      <c r="D70" s="7">
        <v>11</v>
      </c>
    </row>
    <row r="71" spans="1:4" x14ac:dyDescent="0.35">
      <c r="A71" s="5">
        <v>21232</v>
      </c>
      <c r="B71" s="7">
        <v>1.25</v>
      </c>
      <c r="C71" s="7">
        <v>12</v>
      </c>
      <c r="D71" s="7">
        <v>15</v>
      </c>
    </row>
    <row r="72" spans="1:4" x14ac:dyDescent="0.35">
      <c r="A72" s="5">
        <v>21730</v>
      </c>
      <c r="B72" s="7">
        <v>4.25</v>
      </c>
      <c r="C72" s="7">
        <v>12</v>
      </c>
      <c r="D72" s="7">
        <v>51</v>
      </c>
    </row>
    <row r="73" spans="1:4" x14ac:dyDescent="0.35">
      <c r="A73" s="5">
        <v>21754</v>
      </c>
      <c r="B73" s="7">
        <v>5.95</v>
      </c>
      <c r="C73" s="7">
        <v>6</v>
      </c>
      <c r="D73" s="7">
        <v>35.700000000000003</v>
      </c>
    </row>
    <row r="74" spans="1:4" x14ac:dyDescent="0.35">
      <c r="A74" s="5">
        <v>21755</v>
      </c>
      <c r="B74" s="7">
        <v>5.95</v>
      </c>
      <c r="C74" s="7">
        <v>8</v>
      </c>
      <c r="D74" s="7">
        <v>47.6</v>
      </c>
    </row>
    <row r="75" spans="1:4" x14ac:dyDescent="0.35">
      <c r="A75" s="5">
        <v>21790</v>
      </c>
      <c r="B75" s="7">
        <v>1.25</v>
      </c>
      <c r="C75" s="7">
        <v>12</v>
      </c>
      <c r="D75" s="7">
        <v>15</v>
      </c>
    </row>
    <row r="76" spans="1:4" x14ac:dyDescent="0.35">
      <c r="A76" s="5">
        <v>21791</v>
      </c>
      <c r="B76" s="7">
        <v>1.25</v>
      </c>
      <c r="C76" s="7">
        <v>10</v>
      </c>
      <c r="D76" s="7">
        <v>12.5</v>
      </c>
    </row>
    <row r="77" spans="1:4" x14ac:dyDescent="0.35">
      <c r="A77" s="5">
        <v>21931</v>
      </c>
      <c r="B77" s="7">
        <v>1.95</v>
      </c>
      <c r="C77" s="7">
        <v>12</v>
      </c>
      <c r="D77" s="7">
        <v>23.4</v>
      </c>
    </row>
    <row r="78" spans="1:4" x14ac:dyDescent="0.35">
      <c r="A78" s="5">
        <v>21975</v>
      </c>
      <c r="B78" s="7">
        <v>0.55000000000000004</v>
      </c>
      <c r="C78" s="7">
        <v>24</v>
      </c>
      <c r="D78" s="7">
        <v>13.200000000000001</v>
      </c>
    </row>
    <row r="79" spans="1:4" x14ac:dyDescent="0.35">
      <c r="A79" s="5">
        <v>21977</v>
      </c>
      <c r="B79" s="7">
        <v>0.55000000000000004</v>
      </c>
      <c r="C79" s="7">
        <v>24</v>
      </c>
      <c r="D79" s="7">
        <v>13.200000000000001</v>
      </c>
    </row>
    <row r="80" spans="1:4" x14ac:dyDescent="0.35">
      <c r="A80" s="5">
        <v>22077</v>
      </c>
      <c r="B80" s="7">
        <v>1.65</v>
      </c>
      <c r="C80" s="7">
        <v>10</v>
      </c>
      <c r="D80" s="7">
        <v>16.5</v>
      </c>
    </row>
    <row r="81" spans="1:4" x14ac:dyDescent="0.35">
      <c r="A81" s="5">
        <v>22086</v>
      </c>
      <c r="B81" s="7">
        <v>2.95</v>
      </c>
      <c r="C81" s="7">
        <v>12</v>
      </c>
      <c r="D81" s="7">
        <v>35.400000000000006</v>
      </c>
    </row>
    <row r="82" spans="1:4" x14ac:dyDescent="0.35">
      <c r="A82" s="5">
        <v>22111</v>
      </c>
      <c r="B82" s="7">
        <v>4.95</v>
      </c>
      <c r="C82" s="7">
        <v>5</v>
      </c>
      <c r="D82" s="7">
        <v>24.75</v>
      </c>
    </row>
    <row r="83" spans="1:4" x14ac:dyDescent="0.35">
      <c r="A83" s="5">
        <v>22112</v>
      </c>
      <c r="B83" s="7">
        <v>4.95</v>
      </c>
      <c r="C83" s="7">
        <v>6</v>
      </c>
      <c r="D83" s="7">
        <v>29.700000000000003</v>
      </c>
    </row>
    <row r="84" spans="1:4" x14ac:dyDescent="0.35">
      <c r="A84" s="5">
        <v>22113</v>
      </c>
      <c r="B84" s="7">
        <v>4.95</v>
      </c>
      <c r="C84" s="7">
        <v>5</v>
      </c>
      <c r="D84" s="7">
        <v>24.75</v>
      </c>
    </row>
    <row r="85" spans="1:4" x14ac:dyDescent="0.35">
      <c r="A85" s="5">
        <v>22197</v>
      </c>
      <c r="B85" s="7">
        <v>0.85</v>
      </c>
      <c r="C85" s="7">
        <v>24</v>
      </c>
      <c r="D85" s="7">
        <v>20.399999999999999</v>
      </c>
    </row>
    <row r="86" spans="1:4" x14ac:dyDescent="0.35">
      <c r="A86" s="5">
        <v>22326</v>
      </c>
      <c r="B86" s="7">
        <v>2.95</v>
      </c>
      <c r="C86" s="7">
        <v>6</v>
      </c>
      <c r="D86" s="7">
        <v>17.700000000000003</v>
      </c>
    </row>
    <row r="87" spans="1:4" x14ac:dyDescent="0.35">
      <c r="A87" s="5">
        <v>22328</v>
      </c>
      <c r="B87" s="7">
        <v>2.95</v>
      </c>
      <c r="C87" s="7">
        <v>8</v>
      </c>
      <c r="D87" s="7">
        <v>23.6</v>
      </c>
    </row>
    <row r="88" spans="1:4" x14ac:dyDescent="0.35">
      <c r="A88" s="5">
        <v>22355</v>
      </c>
      <c r="B88" s="7">
        <v>0.85</v>
      </c>
      <c r="C88" s="7">
        <v>20</v>
      </c>
      <c r="D88" s="7">
        <v>17</v>
      </c>
    </row>
    <row r="89" spans="1:4" x14ac:dyDescent="0.35">
      <c r="A89" s="5">
        <v>22382</v>
      </c>
      <c r="B89" s="7">
        <v>1.65</v>
      </c>
      <c r="C89" s="7">
        <v>18</v>
      </c>
      <c r="D89" s="7">
        <v>29.7</v>
      </c>
    </row>
    <row r="90" spans="1:4" x14ac:dyDescent="0.35">
      <c r="A90" s="5">
        <v>22383</v>
      </c>
      <c r="B90" s="7">
        <v>1.65</v>
      </c>
      <c r="C90" s="7">
        <v>20</v>
      </c>
      <c r="D90" s="7">
        <v>33</v>
      </c>
    </row>
    <row r="91" spans="1:4" x14ac:dyDescent="0.35">
      <c r="A91" s="5">
        <v>22384</v>
      </c>
      <c r="B91" s="7">
        <v>1.65</v>
      </c>
      <c r="C91" s="7">
        <v>10</v>
      </c>
      <c r="D91" s="7">
        <v>16.5</v>
      </c>
    </row>
    <row r="92" spans="1:4" x14ac:dyDescent="0.35">
      <c r="A92" s="5">
        <v>22411</v>
      </c>
      <c r="B92" s="7">
        <v>1.95</v>
      </c>
      <c r="C92" s="7">
        <v>10</v>
      </c>
      <c r="D92" s="7">
        <v>19.5</v>
      </c>
    </row>
    <row r="93" spans="1:4" x14ac:dyDescent="0.35">
      <c r="A93" s="5">
        <v>22423</v>
      </c>
      <c r="B93" s="7">
        <v>12.75</v>
      </c>
      <c r="C93" s="7">
        <v>3</v>
      </c>
      <c r="D93" s="7">
        <v>38.25</v>
      </c>
    </row>
    <row r="94" spans="1:4" x14ac:dyDescent="0.35">
      <c r="A94" s="5">
        <v>22424</v>
      </c>
      <c r="B94" s="7">
        <v>14.95</v>
      </c>
      <c r="C94" s="7">
        <v>2</v>
      </c>
      <c r="D94" s="7">
        <v>29.9</v>
      </c>
    </row>
    <row r="95" spans="1:4" x14ac:dyDescent="0.35">
      <c r="A95" s="5">
        <v>22425</v>
      </c>
      <c r="B95" s="7">
        <v>4.95</v>
      </c>
      <c r="C95" s="7">
        <v>4</v>
      </c>
      <c r="D95" s="7">
        <v>19.8</v>
      </c>
    </row>
    <row r="96" spans="1:4" x14ac:dyDescent="0.35">
      <c r="A96" s="5">
        <v>22426</v>
      </c>
      <c r="B96" s="7">
        <v>7.95</v>
      </c>
      <c r="C96" s="7">
        <v>3</v>
      </c>
      <c r="D96" s="7">
        <v>23.85</v>
      </c>
    </row>
    <row r="97" spans="1:4" x14ac:dyDescent="0.35">
      <c r="A97" s="5">
        <v>22427</v>
      </c>
      <c r="B97" s="7">
        <v>5.95</v>
      </c>
      <c r="C97" s="7">
        <v>5</v>
      </c>
      <c r="D97" s="7">
        <v>29.75</v>
      </c>
    </row>
    <row r="98" spans="1:4" x14ac:dyDescent="0.35">
      <c r="A98" s="5">
        <v>22428</v>
      </c>
      <c r="B98" s="7">
        <v>9.9499999999999993</v>
      </c>
      <c r="C98" s="7">
        <v>2</v>
      </c>
      <c r="D98" s="7">
        <v>19.899999999999999</v>
      </c>
    </row>
    <row r="99" spans="1:4" x14ac:dyDescent="0.35">
      <c r="A99" s="5">
        <v>22429</v>
      </c>
      <c r="B99" s="7">
        <v>4.25</v>
      </c>
      <c r="C99" s="7">
        <v>6</v>
      </c>
      <c r="D99" s="7">
        <v>25.5</v>
      </c>
    </row>
    <row r="100" spans="1:4" x14ac:dyDescent="0.35">
      <c r="A100" s="5">
        <v>22430</v>
      </c>
      <c r="B100" s="7">
        <v>12.95</v>
      </c>
      <c r="C100" s="7">
        <v>2</v>
      </c>
      <c r="D100" s="7">
        <v>25.9</v>
      </c>
    </row>
    <row r="101" spans="1:4" x14ac:dyDescent="0.35">
      <c r="A101" s="5">
        <v>22457</v>
      </c>
      <c r="B101" s="7">
        <v>2.95</v>
      </c>
      <c r="C101" s="7">
        <v>5</v>
      </c>
      <c r="D101" s="7">
        <v>14.75</v>
      </c>
    </row>
    <row r="102" spans="1:4" x14ac:dyDescent="0.35">
      <c r="A102" s="5">
        <v>22629</v>
      </c>
      <c r="B102" s="7">
        <v>1.95</v>
      </c>
      <c r="C102" s="7">
        <v>15</v>
      </c>
      <c r="D102" s="7">
        <v>29.25</v>
      </c>
    </row>
    <row r="103" spans="1:4" x14ac:dyDescent="0.35">
      <c r="A103" s="5">
        <v>22630</v>
      </c>
      <c r="B103" s="7">
        <v>1.95</v>
      </c>
      <c r="C103" s="7">
        <v>12</v>
      </c>
      <c r="D103" s="7">
        <v>23.4</v>
      </c>
    </row>
    <row r="104" spans="1:4" x14ac:dyDescent="0.35">
      <c r="A104" s="5">
        <v>22632</v>
      </c>
      <c r="B104" s="7">
        <v>1.85</v>
      </c>
      <c r="C104" s="7">
        <v>8</v>
      </c>
      <c r="D104" s="7">
        <v>14.8</v>
      </c>
    </row>
    <row r="105" spans="1:4" x14ac:dyDescent="0.35">
      <c r="A105" s="5">
        <v>22633</v>
      </c>
      <c r="B105" s="7">
        <v>1.85</v>
      </c>
      <c r="C105" s="7">
        <v>10</v>
      </c>
      <c r="D105" s="7">
        <v>18.5</v>
      </c>
    </row>
    <row r="106" spans="1:4" x14ac:dyDescent="0.35">
      <c r="A106" s="5">
        <v>22752</v>
      </c>
      <c r="B106" s="7">
        <v>7.65</v>
      </c>
      <c r="C106" s="7">
        <v>2</v>
      </c>
      <c r="D106" s="7">
        <v>15.3</v>
      </c>
    </row>
    <row r="107" spans="1:4" x14ac:dyDescent="0.35">
      <c r="A107" s="5">
        <v>22835</v>
      </c>
      <c r="B107" s="7">
        <v>4.6500000000000004</v>
      </c>
      <c r="C107" s="7">
        <v>6</v>
      </c>
      <c r="D107" s="7">
        <v>27.900000000000002</v>
      </c>
    </row>
    <row r="108" spans="1:4" x14ac:dyDescent="0.35">
      <c r="A108" s="5">
        <v>22837</v>
      </c>
      <c r="B108" s="7">
        <v>4.95</v>
      </c>
      <c r="C108" s="7">
        <v>5</v>
      </c>
      <c r="D108" s="7">
        <v>24.75</v>
      </c>
    </row>
    <row r="109" spans="1:4" x14ac:dyDescent="0.35">
      <c r="A109" s="5">
        <v>47566</v>
      </c>
      <c r="B109" s="7">
        <v>4.95</v>
      </c>
      <c r="C109" s="7">
        <v>4</v>
      </c>
      <c r="D109" s="7">
        <v>19.8</v>
      </c>
    </row>
    <row r="110" spans="1:4" x14ac:dyDescent="0.35">
      <c r="A110" s="5">
        <v>71053</v>
      </c>
      <c r="B110" s="7">
        <v>3.39</v>
      </c>
      <c r="C110" s="7">
        <v>6</v>
      </c>
      <c r="D110" s="7">
        <v>20.34</v>
      </c>
    </row>
    <row r="111" spans="1:4" x14ac:dyDescent="0.35">
      <c r="A111" s="5">
        <v>84832</v>
      </c>
      <c r="B111" s="7">
        <v>0.85</v>
      </c>
      <c r="C111" s="7">
        <v>12</v>
      </c>
      <c r="D111" s="7">
        <v>10.199999999999999</v>
      </c>
    </row>
    <row r="112" spans="1:4" x14ac:dyDescent="0.35">
      <c r="A112" s="5">
        <v>84879</v>
      </c>
      <c r="B112" s="7">
        <v>1.69</v>
      </c>
      <c r="C112" s="7">
        <v>16</v>
      </c>
      <c r="D112" s="7">
        <v>27.04</v>
      </c>
    </row>
    <row r="113" spans="1:4" x14ac:dyDescent="0.35">
      <c r="A113" s="5">
        <v>84991</v>
      </c>
      <c r="B113" s="7">
        <v>0.55000000000000004</v>
      </c>
      <c r="C113" s="7">
        <v>36</v>
      </c>
      <c r="D113" s="7">
        <v>19.8</v>
      </c>
    </row>
    <row r="114" spans="1:4" x14ac:dyDescent="0.35">
      <c r="A114" s="5" t="s">
        <v>18</v>
      </c>
      <c r="B114" s="7">
        <v>3.39</v>
      </c>
      <c r="C114" s="7">
        <v>6</v>
      </c>
      <c r="D114" s="7">
        <v>20.34</v>
      </c>
    </row>
    <row r="115" spans="1:4" x14ac:dyDescent="0.35">
      <c r="A115" s="5" t="s">
        <v>16</v>
      </c>
      <c r="B115" s="7">
        <v>2.75</v>
      </c>
      <c r="C115" s="7">
        <v>8</v>
      </c>
      <c r="D115" s="7">
        <v>22</v>
      </c>
    </row>
    <row r="116" spans="1:4" x14ac:dyDescent="0.35">
      <c r="A116" s="5" t="s">
        <v>45</v>
      </c>
      <c r="B116" s="7">
        <v>1.95</v>
      </c>
      <c r="C116" s="7">
        <v>10</v>
      </c>
      <c r="D116" s="7">
        <v>19.5</v>
      </c>
    </row>
    <row r="117" spans="1:4" x14ac:dyDescent="0.35">
      <c r="A117" s="5" t="s">
        <v>47</v>
      </c>
      <c r="B117" s="7">
        <v>1.95</v>
      </c>
      <c r="C117" s="7">
        <v>8</v>
      </c>
      <c r="D117" s="7">
        <v>15.6</v>
      </c>
    </row>
    <row r="118" spans="1:4" x14ac:dyDescent="0.35">
      <c r="A118" s="5" t="s">
        <v>12</v>
      </c>
      <c r="B118" s="7">
        <v>2.5499999999999998</v>
      </c>
      <c r="C118" s="7">
        <v>6</v>
      </c>
      <c r="D118" s="7">
        <v>15.299999999999999</v>
      </c>
    </row>
    <row r="119" spans="1:4" x14ac:dyDescent="0.35">
      <c r="A119" s="5" t="s">
        <v>77</v>
      </c>
      <c r="B119" s="7">
        <v>185.16999999999993</v>
      </c>
      <c r="C119" s="7">
        <v>535</v>
      </c>
      <c r="D119" s="7">
        <v>1155.4699999999996</v>
      </c>
    </row>
    <row r="122" spans="1:4" x14ac:dyDescent="0.35">
      <c r="A122" s="4" t="s">
        <v>76</v>
      </c>
      <c r="B122" t="s">
        <v>81</v>
      </c>
    </row>
    <row r="123" spans="1:4" x14ac:dyDescent="0.35">
      <c r="A123" s="5" t="s">
        <v>79</v>
      </c>
      <c r="B123" s="7">
        <v>535</v>
      </c>
    </row>
    <row r="124" spans="1:4" x14ac:dyDescent="0.35">
      <c r="A124" s="5" t="s">
        <v>77</v>
      </c>
      <c r="B124" s="7">
        <v>535</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31FA-DB11-4B4D-AF7A-8008E6C27CF4}">
  <dimension ref="A1"/>
  <sheetViews>
    <sheetView tabSelected="1" topLeftCell="A9" zoomScale="55" zoomScaleNormal="55" workbookViewId="0">
      <selection activeCell="AA17" sqref="AA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
  <sheetViews>
    <sheetView workbookViewId="0">
      <selection activeCell="C14" sqref="A2:L52"/>
    </sheetView>
  </sheetViews>
  <sheetFormatPr defaultRowHeight="14.5" x14ac:dyDescent="0.35"/>
  <cols>
    <col min="1" max="1" width="11.08984375" customWidth="1"/>
    <col min="2" max="2" width="11.6328125" customWidth="1"/>
    <col min="3" max="3" width="37.81640625" bestFit="1" customWidth="1"/>
    <col min="4" max="4" width="10.1796875" customWidth="1"/>
    <col min="5" max="5" width="14.54296875" bestFit="1" customWidth="1"/>
    <col min="6" max="6" width="10.453125" customWidth="1"/>
    <col min="7" max="7" width="12.81640625" customWidth="1"/>
    <col min="8" max="8" width="14.1796875" bestFit="1" customWidth="1"/>
    <col min="9" max="9" width="10" customWidth="1"/>
    <col min="10" max="10" width="8.54296875" customWidth="1"/>
    <col min="11" max="11" width="6.54296875" customWidth="1"/>
    <col min="12" max="12" width="10.6328125" bestFit="1" customWidth="1"/>
    <col min="19" max="19" width="42.54296875" bestFit="1" customWidth="1"/>
    <col min="20" max="20" width="12.7265625" bestFit="1" customWidth="1"/>
    <col min="21" max="21" width="12" bestFit="1" customWidth="1"/>
  </cols>
  <sheetData>
    <row r="1" spans="1:12" x14ac:dyDescent="0.35">
      <c r="A1" s="3" t="s">
        <v>0</v>
      </c>
      <c r="B1" s="3" t="s">
        <v>1</v>
      </c>
      <c r="C1" s="3" t="s">
        <v>2</v>
      </c>
      <c r="D1" s="3" t="s">
        <v>3</v>
      </c>
      <c r="E1" s="3" t="s">
        <v>4</v>
      </c>
      <c r="F1" s="3" t="s">
        <v>5</v>
      </c>
      <c r="G1" s="3" t="s">
        <v>6</v>
      </c>
      <c r="H1" s="3" t="s">
        <v>7</v>
      </c>
      <c r="I1" s="3" t="s">
        <v>8</v>
      </c>
      <c r="J1" s="3" t="s">
        <v>9</v>
      </c>
      <c r="K1" s="3" t="s">
        <v>10</v>
      </c>
      <c r="L1" s="3" t="s">
        <v>11</v>
      </c>
    </row>
    <row r="2" spans="1:12" x14ac:dyDescent="0.35">
      <c r="A2">
        <v>536365</v>
      </c>
      <c r="B2" s="2" t="s">
        <v>12</v>
      </c>
      <c r="C2" t="s">
        <v>13</v>
      </c>
      <c r="D2">
        <v>6</v>
      </c>
      <c r="E2" s="1">
        <v>40513.351388888892</v>
      </c>
      <c r="F2">
        <v>2.5499999999999998</v>
      </c>
      <c r="G2">
        <v>17850</v>
      </c>
      <c r="H2" t="s">
        <v>14</v>
      </c>
      <c r="I2">
        <f>F2*D2</f>
        <v>15.299999999999999</v>
      </c>
      <c r="J2">
        <f>MONTH(E2)</f>
        <v>12</v>
      </c>
      <c r="K2">
        <f>YEAR(E2)</f>
        <v>2010</v>
      </c>
      <c r="L2" t="str">
        <f>TEXT(E2,"DDDD")</f>
        <v>Wednesday</v>
      </c>
    </row>
    <row r="3" spans="1:12" x14ac:dyDescent="0.35">
      <c r="A3">
        <v>536365</v>
      </c>
      <c r="B3" s="2">
        <v>71053</v>
      </c>
      <c r="C3" t="s">
        <v>15</v>
      </c>
      <c r="D3">
        <v>6</v>
      </c>
      <c r="E3" s="1">
        <v>40513.351388888892</v>
      </c>
      <c r="F3">
        <v>3.39</v>
      </c>
      <c r="G3">
        <v>17850</v>
      </c>
      <c r="H3" t="s">
        <v>14</v>
      </c>
      <c r="I3">
        <f t="shared" ref="I3:I52" si="0">F3*D3</f>
        <v>20.34</v>
      </c>
      <c r="J3">
        <f t="shared" ref="J3:J52" si="1">MONTH(E3)</f>
        <v>12</v>
      </c>
      <c r="K3">
        <f t="shared" ref="K3:K52" si="2">YEAR(E3)</f>
        <v>2010</v>
      </c>
      <c r="L3" t="str">
        <f t="shared" ref="L3:L52" si="3">TEXT(E3,"DDDD")</f>
        <v>Wednesday</v>
      </c>
    </row>
    <row r="4" spans="1:12" x14ac:dyDescent="0.35">
      <c r="A4">
        <v>536366</v>
      </c>
      <c r="B4" s="2" t="s">
        <v>16</v>
      </c>
      <c r="C4" t="s">
        <v>17</v>
      </c>
      <c r="D4">
        <v>8</v>
      </c>
      <c r="E4" s="1">
        <v>40513.352777777778</v>
      </c>
      <c r="F4">
        <v>2.75</v>
      </c>
      <c r="G4">
        <v>13047</v>
      </c>
      <c r="H4" t="s">
        <v>14</v>
      </c>
      <c r="I4">
        <f t="shared" si="0"/>
        <v>22</v>
      </c>
      <c r="J4">
        <f t="shared" si="1"/>
        <v>12</v>
      </c>
      <c r="K4">
        <f t="shared" si="2"/>
        <v>2010</v>
      </c>
      <c r="L4" t="str">
        <f t="shared" si="3"/>
        <v>Wednesday</v>
      </c>
    </row>
    <row r="5" spans="1:12" x14ac:dyDescent="0.35">
      <c r="A5">
        <v>536367</v>
      </c>
      <c r="B5" s="2" t="s">
        <v>18</v>
      </c>
      <c r="C5" t="s">
        <v>19</v>
      </c>
      <c r="D5">
        <v>6</v>
      </c>
      <c r="E5" s="1">
        <v>40513.356944444444</v>
      </c>
      <c r="F5">
        <v>3.39</v>
      </c>
      <c r="G5">
        <v>12583</v>
      </c>
      <c r="H5" t="s">
        <v>20</v>
      </c>
      <c r="I5">
        <f t="shared" si="0"/>
        <v>20.34</v>
      </c>
      <c r="J5">
        <f t="shared" si="1"/>
        <v>12</v>
      </c>
      <c r="K5">
        <f t="shared" si="2"/>
        <v>2010</v>
      </c>
      <c r="L5" t="str">
        <f t="shared" si="3"/>
        <v>Wednesday</v>
      </c>
    </row>
    <row r="6" spans="1:12" x14ac:dyDescent="0.35">
      <c r="A6">
        <v>536368</v>
      </c>
      <c r="B6" s="2">
        <v>22752</v>
      </c>
      <c r="C6" t="s">
        <v>21</v>
      </c>
      <c r="D6">
        <v>2</v>
      </c>
      <c r="E6" s="1">
        <v>40513.357638888891</v>
      </c>
      <c r="F6">
        <v>7.65</v>
      </c>
      <c r="G6">
        <v>13748</v>
      </c>
      <c r="H6" t="s">
        <v>22</v>
      </c>
      <c r="I6">
        <f t="shared" si="0"/>
        <v>15.3</v>
      </c>
      <c r="J6">
        <f t="shared" si="1"/>
        <v>12</v>
      </c>
      <c r="K6">
        <f t="shared" si="2"/>
        <v>2010</v>
      </c>
      <c r="L6" t="str">
        <f t="shared" si="3"/>
        <v>Wednesday</v>
      </c>
    </row>
    <row r="7" spans="1:12" x14ac:dyDescent="0.35">
      <c r="A7">
        <v>536369</v>
      </c>
      <c r="B7" s="2">
        <v>21730</v>
      </c>
      <c r="C7" t="s">
        <v>23</v>
      </c>
      <c r="D7">
        <v>12</v>
      </c>
      <c r="E7" s="1">
        <v>40513.364583333336</v>
      </c>
      <c r="F7">
        <v>4.25</v>
      </c>
      <c r="G7">
        <v>15100</v>
      </c>
      <c r="H7" t="s">
        <v>24</v>
      </c>
      <c r="I7">
        <f t="shared" si="0"/>
        <v>51</v>
      </c>
      <c r="J7">
        <f t="shared" si="1"/>
        <v>12</v>
      </c>
      <c r="K7">
        <f t="shared" si="2"/>
        <v>2010</v>
      </c>
      <c r="L7" t="str">
        <f t="shared" si="3"/>
        <v>Wednesday</v>
      </c>
    </row>
    <row r="8" spans="1:12" x14ac:dyDescent="0.35">
      <c r="A8">
        <v>536370</v>
      </c>
      <c r="B8" s="2">
        <v>22633</v>
      </c>
      <c r="C8" t="s">
        <v>25</v>
      </c>
      <c r="D8">
        <v>10</v>
      </c>
      <c r="E8" s="1">
        <v>40513.375694444447</v>
      </c>
      <c r="F8">
        <v>1.85</v>
      </c>
      <c r="G8">
        <v>15291</v>
      </c>
      <c r="H8" t="s">
        <v>14</v>
      </c>
      <c r="I8">
        <f t="shared" si="0"/>
        <v>18.5</v>
      </c>
      <c r="J8">
        <f t="shared" si="1"/>
        <v>12</v>
      </c>
      <c r="K8">
        <f t="shared" si="2"/>
        <v>2010</v>
      </c>
      <c r="L8" t="str">
        <f t="shared" si="3"/>
        <v>Wednesday</v>
      </c>
    </row>
    <row r="9" spans="1:12" x14ac:dyDescent="0.35">
      <c r="A9">
        <v>536371</v>
      </c>
      <c r="B9" s="2">
        <v>22632</v>
      </c>
      <c r="C9" t="s">
        <v>26</v>
      </c>
      <c r="D9">
        <v>8</v>
      </c>
      <c r="E9" s="1">
        <v>40513.378472222219</v>
      </c>
      <c r="F9">
        <v>1.85</v>
      </c>
      <c r="G9">
        <v>14688</v>
      </c>
      <c r="H9" t="s">
        <v>27</v>
      </c>
      <c r="I9">
        <f t="shared" si="0"/>
        <v>14.8</v>
      </c>
      <c r="J9">
        <f t="shared" si="1"/>
        <v>12</v>
      </c>
      <c r="K9">
        <f t="shared" si="2"/>
        <v>2010</v>
      </c>
      <c r="L9" t="str">
        <f t="shared" si="3"/>
        <v>Wednesday</v>
      </c>
    </row>
    <row r="10" spans="1:12" x14ac:dyDescent="0.35">
      <c r="A10">
        <v>536372</v>
      </c>
      <c r="B10" s="2">
        <v>84879</v>
      </c>
      <c r="C10" t="s">
        <v>28</v>
      </c>
      <c r="D10">
        <v>16</v>
      </c>
      <c r="E10" s="1">
        <v>40513.381944444445</v>
      </c>
      <c r="F10">
        <v>1.69</v>
      </c>
      <c r="G10">
        <v>17809</v>
      </c>
      <c r="H10" t="s">
        <v>14</v>
      </c>
      <c r="I10">
        <f t="shared" si="0"/>
        <v>27.04</v>
      </c>
      <c r="J10">
        <f t="shared" si="1"/>
        <v>12</v>
      </c>
      <c r="K10">
        <f t="shared" si="2"/>
        <v>2010</v>
      </c>
      <c r="L10" t="str">
        <f t="shared" si="3"/>
        <v>Wednesday</v>
      </c>
    </row>
    <row r="11" spans="1:12" x14ac:dyDescent="0.35">
      <c r="A11">
        <v>536373</v>
      </c>
      <c r="B11" s="2">
        <v>21232</v>
      </c>
      <c r="C11" t="s">
        <v>29</v>
      </c>
      <c r="D11">
        <v>12</v>
      </c>
      <c r="E11" s="1">
        <v>40513.383333333331</v>
      </c>
      <c r="F11">
        <v>1.25</v>
      </c>
      <c r="G11">
        <v>12431</v>
      </c>
      <c r="H11" t="s">
        <v>30</v>
      </c>
      <c r="I11">
        <f t="shared" si="0"/>
        <v>15</v>
      </c>
      <c r="J11">
        <f t="shared" si="1"/>
        <v>12</v>
      </c>
      <c r="K11">
        <f t="shared" si="2"/>
        <v>2010</v>
      </c>
      <c r="L11" t="str">
        <f t="shared" si="3"/>
        <v>Wednesday</v>
      </c>
    </row>
    <row r="12" spans="1:12" x14ac:dyDescent="0.35">
      <c r="A12">
        <v>536374</v>
      </c>
      <c r="B12" s="2">
        <v>22383</v>
      </c>
      <c r="C12" t="s">
        <v>31</v>
      </c>
      <c r="D12">
        <v>20</v>
      </c>
      <c r="E12" s="1">
        <v>40513.388888888891</v>
      </c>
      <c r="F12">
        <v>1.65</v>
      </c>
      <c r="G12">
        <v>14001</v>
      </c>
      <c r="H12" t="s">
        <v>14</v>
      </c>
      <c r="I12">
        <f t="shared" si="0"/>
        <v>33</v>
      </c>
      <c r="J12">
        <f t="shared" si="1"/>
        <v>12</v>
      </c>
      <c r="K12">
        <f t="shared" si="2"/>
        <v>2010</v>
      </c>
      <c r="L12" t="str">
        <f t="shared" si="3"/>
        <v>Wednesday</v>
      </c>
    </row>
    <row r="13" spans="1:12" x14ac:dyDescent="0.35">
      <c r="A13">
        <v>536375</v>
      </c>
      <c r="B13" s="2">
        <v>20725</v>
      </c>
      <c r="C13" t="s">
        <v>32</v>
      </c>
      <c r="D13">
        <v>15</v>
      </c>
      <c r="E13" s="1">
        <v>40513.395833333336</v>
      </c>
      <c r="F13">
        <v>1.65</v>
      </c>
      <c r="G13">
        <v>13089</v>
      </c>
      <c r="H13" t="s">
        <v>22</v>
      </c>
      <c r="I13">
        <f t="shared" si="0"/>
        <v>24.75</v>
      </c>
      <c r="J13">
        <f t="shared" si="1"/>
        <v>12</v>
      </c>
      <c r="K13">
        <f t="shared" si="2"/>
        <v>2010</v>
      </c>
      <c r="L13" t="str">
        <f t="shared" si="3"/>
        <v>Wednesday</v>
      </c>
    </row>
    <row r="14" spans="1:12" x14ac:dyDescent="0.35">
      <c r="A14">
        <v>536376</v>
      </c>
      <c r="B14" s="2">
        <v>22382</v>
      </c>
      <c r="C14" t="s">
        <v>33</v>
      </c>
      <c r="D14">
        <v>18</v>
      </c>
      <c r="E14" s="1">
        <v>40513.404166666667</v>
      </c>
      <c r="F14">
        <v>1.65</v>
      </c>
      <c r="G14">
        <v>14527</v>
      </c>
      <c r="H14" t="s">
        <v>20</v>
      </c>
      <c r="I14">
        <f t="shared" si="0"/>
        <v>29.7</v>
      </c>
      <c r="J14">
        <f t="shared" si="1"/>
        <v>12</v>
      </c>
      <c r="K14">
        <f t="shared" si="2"/>
        <v>2010</v>
      </c>
      <c r="L14" t="str">
        <f t="shared" si="3"/>
        <v>Wednesday</v>
      </c>
    </row>
    <row r="15" spans="1:12" x14ac:dyDescent="0.35">
      <c r="A15">
        <v>536377</v>
      </c>
      <c r="B15" s="2">
        <v>22384</v>
      </c>
      <c r="C15" t="s">
        <v>34</v>
      </c>
      <c r="D15">
        <v>10</v>
      </c>
      <c r="E15" s="1">
        <v>40513.409722222219</v>
      </c>
      <c r="F15">
        <v>1.65</v>
      </c>
      <c r="G15">
        <v>13263</v>
      </c>
      <c r="H15" t="s">
        <v>14</v>
      </c>
      <c r="I15">
        <f t="shared" si="0"/>
        <v>16.5</v>
      </c>
      <c r="J15">
        <f t="shared" si="1"/>
        <v>12</v>
      </c>
      <c r="K15">
        <f t="shared" si="2"/>
        <v>2010</v>
      </c>
      <c r="L15" t="str">
        <f t="shared" si="3"/>
        <v>Wednesday</v>
      </c>
    </row>
    <row r="16" spans="1:12" x14ac:dyDescent="0.35">
      <c r="A16">
        <v>536378</v>
      </c>
      <c r="B16">
        <v>22457</v>
      </c>
      <c r="C16" t="s">
        <v>35</v>
      </c>
      <c r="D16">
        <v>5</v>
      </c>
      <c r="E16" s="1">
        <v>40513.420138888891</v>
      </c>
      <c r="F16">
        <v>2.95</v>
      </c>
      <c r="G16">
        <v>13694</v>
      </c>
      <c r="H16" t="s">
        <v>36</v>
      </c>
      <c r="I16">
        <f t="shared" si="0"/>
        <v>14.75</v>
      </c>
      <c r="J16">
        <f t="shared" si="1"/>
        <v>12</v>
      </c>
      <c r="K16">
        <f t="shared" si="2"/>
        <v>2010</v>
      </c>
      <c r="L16" t="str">
        <f t="shared" si="3"/>
        <v>Wednesday</v>
      </c>
    </row>
    <row r="17" spans="1:12" x14ac:dyDescent="0.35">
      <c r="A17">
        <v>536379</v>
      </c>
      <c r="B17">
        <v>47566</v>
      </c>
      <c r="C17" t="s">
        <v>37</v>
      </c>
      <c r="D17">
        <v>4</v>
      </c>
      <c r="E17" s="1">
        <v>40513.423611111109</v>
      </c>
      <c r="F17">
        <v>4.95</v>
      </c>
      <c r="G17">
        <v>15061</v>
      </c>
      <c r="H17" t="s">
        <v>14</v>
      </c>
      <c r="I17">
        <f t="shared" si="0"/>
        <v>19.8</v>
      </c>
      <c r="J17">
        <f t="shared" si="1"/>
        <v>12</v>
      </c>
      <c r="K17">
        <f t="shared" si="2"/>
        <v>2010</v>
      </c>
      <c r="L17" t="str">
        <f t="shared" si="3"/>
        <v>Wednesday</v>
      </c>
    </row>
    <row r="18" spans="1:12" x14ac:dyDescent="0.35">
      <c r="A18">
        <v>536380</v>
      </c>
      <c r="B18">
        <v>22835</v>
      </c>
      <c r="C18" t="s">
        <v>38</v>
      </c>
      <c r="D18">
        <v>6</v>
      </c>
      <c r="E18" s="1">
        <v>40513.431944444441</v>
      </c>
      <c r="F18">
        <v>4.6500000000000004</v>
      </c>
      <c r="G18">
        <v>12791</v>
      </c>
      <c r="H18" t="s">
        <v>39</v>
      </c>
      <c r="I18">
        <f t="shared" si="0"/>
        <v>27.900000000000002</v>
      </c>
      <c r="J18">
        <f t="shared" si="1"/>
        <v>12</v>
      </c>
      <c r="K18">
        <f t="shared" si="2"/>
        <v>2010</v>
      </c>
      <c r="L18" t="str">
        <f t="shared" si="3"/>
        <v>Wednesday</v>
      </c>
    </row>
    <row r="19" spans="1:12" x14ac:dyDescent="0.35">
      <c r="A19">
        <v>536381</v>
      </c>
      <c r="B19">
        <v>22837</v>
      </c>
      <c r="C19" t="s">
        <v>40</v>
      </c>
      <c r="D19">
        <v>5</v>
      </c>
      <c r="E19" s="1">
        <v>40513.440972222219</v>
      </c>
      <c r="F19">
        <v>4.95</v>
      </c>
      <c r="G19">
        <v>12557</v>
      </c>
      <c r="H19" t="s">
        <v>20</v>
      </c>
      <c r="I19">
        <f t="shared" si="0"/>
        <v>24.75</v>
      </c>
      <c r="J19">
        <f t="shared" si="1"/>
        <v>12</v>
      </c>
      <c r="K19">
        <f t="shared" si="2"/>
        <v>2010</v>
      </c>
      <c r="L19" t="str">
        <f t="shared" si="3"/>
        <v>Wednesday</v>
      </c>
    </row>
    <row r="20" spans="1:12" x14ac:dyDescent="0.35">
      <c r="A20">
        <v>536382</v>
      </c>
      <c r="B20">
        <v>22086</v>
      </c>
      <c r="C20" t="s">
        <v>41</v>
      </c>
      <c r="D20">
        <v>12</v>
      </c>
      <c r="E20" s="1">
        <v>40513.451388888891</v>
      </c>
      <c r="F20">
        <v>2.95</v>
      </c>
      <c r="G20">
        <v>14769</v>
      </c>
      <c r="H20" t="s">
        <v>14</v>
      </c>
      <c r="I20">
        <f t="shared" si="0"/>
        <v>35.400000000000006</v>
      </c>
      <c r="J20">
        <f t="shared" si="1"/>
        <v>12</v>
      </c>
      <c r="K20">
        <f t="shared" si="2"/>
        <v>2010</v>
      </c>
      <c r="L20" t="str">
        <f t="shared" si="3"/>
        <v>Wednesday</v>
      </c>
    </row>
    <row r="21" spans="1:12" x14ac:dyDescent="0.35">
      <c r="A21">
        <v>536383</v>
      </c>
      <c r="B21">
        <v>22197</v>
      </c>
      <c r="C21" t="s">
        <v>42</v>
      </c>
      <c r="D21">
        <v>24</v>
      </c>
      <c r="E21" s="1">
        <v>40513.458333333336</v>
      </c>
      <c r="F21">
        <v>0.85</v>
      </c>
      <c r="G21">
        <v>16029</v>
      </c>
      <c r="H21" t="s">
        <v>14</v>
      </c>
      <c r="I21">
        <f t="shared" si="0"/>
        <v>20.399999999999999</v>
      </c>
      <c r="J21">
        <f t="shared" si="1"/>
        <v>12</v>
      </c>
      <c r="K21">
        <f t="shared" si="2"/>
        <v>2010</v>
      </c>
      <c r="L21" t="str">
        <f t="shared" si="3"/>
        <v>Wednesday</v>
      </c>
    </row>
    <row r="22" spans="1:12" x14ac:dyDescent="0.35">
      <c r="A22">
        <v>536384</v>
      </c>
      <c r="B22">
        <v>22355</v>
      </c>
      <c r="C22" t="s">
        <v>43</v>
      </c>
      <c r="D22">
        <v>20</v>
      </c>
      <c r="E22" s="1">
        <v>40513.465277777781</v>
      </c>
      <c r="F22">
        <v>0.85</v>
      </c>
      <c r="G22">
        <v>12415</v>
      </c>
      <c r="H22" t="s">
        <v>30</v>
      </c>
      <c r="I22">
        <f t="shared" si="0"/>
        <v>17</v>
      </c>
      <c r="J22">
        <f t="shared" si="1"/>
        <v>12</v>
      </c>
      <c r="K22">
        <f t="shared" si="2"/>
        <v>2010</v>
      </c>
      <c r="L22" t="str">
        <f t="shared" si="3"/>
        <v>Wednesday</v>
      </c>
    </row>
    <row r="23" spans="1:12" x14ac:dyDescent="0.35">
      <c r="A23">
        <v>536385</v>
      </c>
      <c r="B23">
        <v>84991</v>
      </c>
      <c r="C23" t="s">
        <v>44</v>
      </c>
      <c r="D23">
        <v>36</v>
      </c>
      <c r="E23" s="1">
        <v>40513.472222222219</v>
      </c>
      <c r="F23">
        <v>0.55000000000000004</v>
      </c>
      <c r="G23">
        <v>15498</v>
      </c>
      <c r="H23" t="s">
        <v>14</v>
      </c>
      <c r="I23">
        <f t="shared" si="0"/>
        <v>19.8</v>
      </c>
      <c r="J23">
        <f t="shared" si="1"/>
        <v>12</v>
      </c>
      <c r="K23">
        <f t="shared" si="2"/>
        <v>2010</v>
      </c>
      <c r="L23" t="str">
        <f t="shared" si="3"/>
        <v>Wednesday</v>
      </c>
    </row>
    <row r="24" spans="1:12" x14ac:dyDescent="0.35">
      <c r="A24">
        <v>536386</v>
      </c>
      <c r="B24" t="s">
        <v>45</v>
      </c>
      <c r="C24" t="s">
        <v>46</v>
      </c>
      <c r="D24">
        <v>10</v>
      </c>
      <c r="E24" s="1">
        <v>40513.479166666664</v>
      </c>
      <c r="F24">
        <v>1.95</v>
      </c>
      <c r="G24">
        <v>16752</v>
      </c>
      <c r="H24" t="s">
        <v>14</v>
      </c>
      <c r="I24">
        <f t="shared" si="0"/>
        <v>19.5</v>
      </c>
      <c r="J24">
        <f t="shared" si="1"/>
        <v>12</v>
      </c>
      <c r="K24">
        <f t="shared" si="2"/>
        <v>2010</v>
      </c>
      <c r="L24" t="str">
        <f t="shared" si="3"/>
        <v>Wednesday</v>
      </c>
    </row>
    <row r="25" spans="1:12" x14ac:dyDescent="0.35">
      <c r="A25">
        <v>536387</v>
      </c>
      <c r="B25" t="s">
        <v>47</v>
      </c>
      <c r="C25" t="s">
        <v>48</v>
      </c>
      <c r="D25">
        <v>8</v>
      </c>
      <c r="E25" s="1">
        <v>40513.489583333336</v>
      </c>
      <c r="F25">
        <v>1.95</v>
      </c>
      <c r="G25">
        <v>17377</v>
      </c>
      <c r="H25" t="s">
        <v>14</v>
      </c>
      <c r="I25">
        <f t="shared" si="0"/>
        <v>15.6</v>
      </c>
      <c r="J25">
        <f t="shared" si="1"/>
        <v>12</v>
      </c>
      <c r="K25">
        <f t="shared" si="2"/>
        <v>2010</v>
      </c>
      <c r="L25" t="str">
        <f t="shared" si="3"/>
        <v>Wednesday</v>
      </c>
    </row>
    <row r="26" spans="1:12" x14ac:dyDescent="0.35">
      <c r="A26">
        <v>536388</v>
      </c>
      <c r="B26">
        <v>21931</v>
      </c>
      <c r="C26" t="s">
        <v>49</v>
      </c>
      <c r="D26">
        <v>12</v>
      </c>
      <c r="E26" s="1">
        <v>40513.5</v>
      </c>
      <c r="F26">
        <v>1.95</v>
      </c>
      <c r="G26">
        <v>12682</v>
      </c>
      <c r="H26" t="s">
        <v>20</v>
      </c>
      <c r="I26">
        <f t="shared" si="0"/>
        <v>23.4</v>
      </c>
      <c r="J26">
        <f t="shared" si="1"/>
        <v>12</v>
      </c>
      <c r="K26">
        <f t="shared" si="2"/>
        <v>2010</v>
      </c>
      <c r="L26" t="str">
        <f t="shared" si="3"/>
        <v>Wednesday</v>
      </c>
    </row>
    <row r="27" spans="1:12" x14ac:dyDescent="0.35">
      <c r="A27">
        <v>536389</v>
      </c>
      <c r="B27">
        <v>22411</v>
      </c>
      <c r="C27" t="s">
        <v>50</v>
      </c>
      <c r="D27">
        <v>10</v>
      </c>
      <c r="E27" s="1">
        <v>40513.503472222219</v>
      </c>
      <c r="F27">
        <v>1.95</v>
      </c>
      <c r="G27">
        <v>12838</v>
      </c>
      <c r="H27" t="s">
        <v>22</v>
      </c>
      <c r="I27">
        <f t="shared" si="0"/>
        <v>19.5</v>
      </c>
      <c r="J27">
        <f t="shared" si="1"/>
        <v>12</v>
      </c>
      <c r="K27">
        <f t="shared" si="2"/>
        <v>2010</v>
      </c>
      <c r="L27" t="str">
        <f t="shared" si="3"/>
        <v>Wednesday</v>
      </c>
    </row>
    <row r="28" spans="1:12" x14ac:dyDescent="0.35">
      <c r="A28">
        <v>536390</v>
      </c>
      <c r="B28">
        <v>22629</v>
      </c>
      <c r="C28" t="s">
        <v>51</v>
      </c>
      <c r="D28">
        <v>15</v>
      </c>
      <c r="E28" s="1">
        <v>40513.510416666664</v>
      </c>
      <c r="F28">
        <v>1.95</v>
      </c>
      <c r="G28">
        <v>17850</v>
      </c>
      <c r="H28" t="s">
        <v>14</v>
      </c>
      <c r="I28">
        <f t="shared" si="0"/>
        <v>29.25</v>
      </c>
      <c r="J28">
        <f t="shared" si="1"/>
        <v>12</v>
      </c>
      <c r="K28">
        <f t="shared" si="2"/>
        <v>2010</v>
      </c>
      <c r="L28" t="str">
        <f t="shared" si="3"/>
        <v>Wednesday</v>
      </c>
    </row>
    <row r="29" spans="1:12" x14ac:dyDescent="0.35">
      <c r="A29">
        <v>536391</v>
      </c>
      <c r="B29">
        <v>22630</v>
      </c>
      <c r="C29" t="s">
        <v>52</v>
      </c>
      <c r="D29">
        <v>12</v>
      </c>
      <c r="E29" s="1">
        <v>40513.513888888891</v>
      </c>
      <c r="F29">
        <v>1.95</v>
      </c>
      <c r="G29">
        <v>13047</v>
      </c>
      <c r="H29" t="s">
        <v>14</v>
      </c>
      <c r="I29">
        <f t="shared" si="0"/>
        <v>23.4</v>
      </c>
      <c r="J29">
        <f t="shared" si="1"/>
        <v>12</v>
      </c>
      <c r="K29">
        <f t="shared" si="2"/>
        <v>2010</v>
      </c>
      <c r="L29" t="str">
        <f t="shared" si="3"/>
        <v>Wednesday</v>
      </c>
    </row>
    <row r="30" spans="1:12" x14ac:dyDescent="0.35">
      <c r="A30">
        <v>536392</v>
      </c>
      <c r="B30">
        <v>21754</v>
      </c>
      <c r="C30" t="s">
        <v>53</v>
      </c>
      <c r="D30">
        <v>6</v>
      </c>
      <c r="E30" s="1">
        <v>40513.524305555555</v>
      </c>
      <c r="F30">
        <v>5.95</v>
      </c>
      <c r="G30">
        <v>12583</v>
      </c>
      <c r="H30" t="s">
        <v>20</v>
      </c>
      <c r="I30">
        <f t="shared" si="0"/>
        <v>35.700000000000003</v>
      </c>
      <c r="J30">
        <f t="shared" si="1"/>
        <v>12</v>
      </c>
      <c r="K30">
        <f t="shared" si="2"/>
        <v>2010</v>
      </c>
      <c r="L30" t="str">
        <f t="shared" si="3"/>
        <v>Wednesday</v>
      </c>
    </row>
    <row r="31" spans="1:12" x14ac:dyDescent="0.35">
      <c r="A31">
        <v>536393</v>
      </c>
      <c r="B31">
        <v>21755</v>
      </c>
      <c r="C31" t="s">
        <v>54</v>
      </c>
      <c r="D31">
        <v>8</v>
      </c>
      <c r="E31" s="1">
        <v>40513.527777777781</v>
      </c>
      <c r="F31">
        <v>5.95</v>
      </c>
      <c r="G31">
        <v>13748</v>
      </c>
      <c r="H31" t="s">
        <v>22</v>
      </c>
      <c r="I31">
        <f t="shared" si="0"/>
        <v>47.6</v>
      </c>
      <c r="J31">
        <f t="shared" si="1"/>
        <v>12</v>
      </c>
      <c r="K31">
        <f t="shared" si="2"/>
        <v>2010</v>
      </c>
      <c r="L31" t="str">
        <f t="shared" si="3"/>
        <v>Wednesday</v>
      </c>
    </row>
    <row r="32" spans="1:12" x14ac:dyDescent="0.35">
      <c r="A32">
        <v>536394</v>
      </c>
      <c r="B32">
        <v>84832</v>
      </c>
      <c r="C32" t="s">
        <v>55</v>
      </c>
      <c r="D32">
        <v>12</v>
      </c>
      <c r="E32" s="1">
        <v>40513.541666666664</v>
      </c>
      <c r="F32">
        <v>0.85</v>
      </c>
      <c r="G32">
        <v>15100</v>
      </c>
      <c r="H32" t="s">
        <v>24</v>
      </c>
      <c r="I32">
        <f t="shared" si="0"/>
        <v>10.199999999999999</v>
      </c>
      <c r="J32">
        <f t="shared" si="1"/>
        <v>12</v>
      </c>
      <c r="K32">
        <f t="shared" si="2"/>
        <v>2010</v>
      </c>
      <c r="L32" t="str">
        <f t="shared" si="3"/>
        <v>Wednesday</v>
      </c>
    </row>
    <row r="33" spans="1:12" x14ac:dyDescent="0.35">
      <c r="A33">
        <v>536395</v>
      </c>
      <c r="B33">
        <v>22077</v>
      </c>
      <c r="C33" t="s">
        <v>56</v>
      </c>
      <c r="D33">
        <v>10</v>
      </c>
      <c r="E33" s="1">
        <v>40513.548611111109</v>
      </c>
      <c r="F33">
        <v>1.65</v>
      </c>
      <c r="G33">
        <v>15291</v>
      </c>
      <c r="H33" t="s">
        <v>14</v>
      </c>
      <c r="I33">
        <f t="shared" si="0"/>
        <v>16.5</v>
      </c>
      <c r="J33">
        <f t="shared" si="1"/>
        <v>12</v>
      </c>
      <c r="K33">
        <f t="shared" si="2"/>
        <v>2010</v>
      </c>
      <c r="L33" t="str">
        <f t="shared" si="3"/>
        <v>Wednesday</v>
      </c>
    </row>
    <row r="34" spans="1:12" x14ac:dyDescent="0.35">
      <c r="A34">
        <v>536396</v>
      </c>
      <c r="B34">
        <v>22326</v>
      </c>
      <c r="C34" t="s">
        <v>57</v>
      </c>
      <c r="D34">
        <v>6</v>
      </c>
      <c r="E34" s="1">
        <v>40513.559027777781</v>
      </c>
      <c r="F34">
        <v>2.95</v>
      </c>
      <c r="G34">
        <v>14688</v>
      </c>
      <c r="H34" t="s">
        <v>27</v>
      </c>
      <c r="I34">
        <f t="shared" si="0"/>
        <v>17.700000000000003</v>
      </c>
      <c r="J34">
        <f t="shared" si="1"/>
        <v>12</v>
      </c>
      <c r="K34">
        <f t="shared" si="2"/>
        <v>2010</v>
      </c>
      <c r="L34" t="str">
        <f t="shared" si="3"/>
        <v>Wednesday</v>
      </c>
    </row>
    <row r="35" spans="1:12" x14ac:dyDescent="0.35">
      <c r="A35">
        <v>536397</v>
      </c>
      <c r="B35">
        <v>22328</v>
      </c>
      <c r="C35" t="s">
        <v>58</v>
      </c>
      <c r="D35">
        <v>8</v>
      </c>
      <c r="E35" s="1">
        <v>40513.5625</v>
      </c>
      <c r="F35">
        <v>2.95</v>
      </c>
      <c r="G35">
        <v>17809</v>
      </c>
      <c r="H35" t="s">
        <v>14</v>
      </c>
      <c r="I35">
        <f t="shared" si="0"/>
        <v>23.6</v>
      </c>
      <c r="J35">
        <f t="shared" si="1"/>
        <v>12</v>
      </c>
      <c r="K35">
        <f t="shared" si="2"/>
        <v>2010</v>
      </c>
      <c r="L35" t="str">
        <f t="shared" si="3"/>
        <v>Wednesday</v>
      </c>
    </row>
    <row r="36" spans="1:12" x14ac:dyDescent="0.35">
      <c r="A36">
        <v>536398</v>
      </c>
      <c r="B36">
        <v>21212</v>
      </c>
      <c r="C36" t="s">
        <v>59</v>
      </c>
      <c r="D36">
        <v>24</v>
      </c>
      <c r="E36" s="1">
        <v>40513.572916666664</v>
      </c>
      <c r="F36">
        <v>0.55000000000000004</v>
      </c>
      <c r="G36">
        <v>12431</v>
      </c>
      <c r="H36" t="s">
        <v>30</v>
      </c>
      <c r="I36">
        <f t="shared" si="0"/>
        <v>13.200000000000001</v>
      </c>
      <c r="J36">
        <f t="shared" si="1"/>
        <v>12</v>
      </c>
      <c r="K36">
        <f t="shared" si="2"/>
        <v>2010</v>
      </c>
      <c r="L36" t="str">
        <f t="shared" si="3"/>
        <v>Wednesday</v>
      </c>
    </row>
    <row r="37" spans="1:12" x14ac:dyDescent="0.35">
      <c r="A37">
        <v>536399</v>
      </c>
      <c r="B37">
        <v>21213</v>
      </c>
      <c r="C37" t="s">
        <v>60</v>
      </c>
      <c r="D37">
        <v>20</v>
      </c>
      <c r="E37" s="1">
        <v>40513.583333333336</v>
      </c>
      <c r="F37">
        <v>0.55000000000000004</v>
      </c>
      <c r="G37">
        <v>14001</v>
      </c>
      <c r="H37" t="s">
        <v>14</v>
      </c>
      <c r="I37">
        <f t="shared" si="0"/>
        <v>11</v>
      </c>
      <c r="J37">
        <f t="shared" si="1"/>
        <v>12</v>
      </c>
      <c r="K37">
        <f t="shared" si="2"/>
        <v>2010</v>
      </c>
      <c r="L37" t="str">
        <f t="shared" si="3"/>
        <v>Wednesday</v>
      </c>
    </row>
    <row r="38" spans="1:12" x14ac:dyDescent="0.35">
      <c r="A38">
        <v>536400</v>
      </c>
      <c r="B38">
        <v>21791</v>
      </c>
      <c r="C38" t="s">
        <v>61</v>
      </c>
      <c r="D38">
        <v>10</v>
      </c>
      <c r="E38" s="1">
        <v>40513.59375</v>
      </c>
      <c r="F38">
        <v>1.25</v>
      </c>
      <c r="G38">
        <v>13089</v>
      </c>
      <c r="H38" t="s">
        <v>22</v>
      </c>
      <c r="I38">
        <f t="shared" si="0"/>
        <v>12.5</v>
      </c>
      <c r="J38">
        <f t="shared" si="1"/>
        <v>12</v>
      </c>
      <c r="K38">
        <f t="shared" si="2"/>
        <v>2010</v>
      </c>
      <c r="L38" t="str">
        <f t="shared" si="3"/>
        <v>Wednesday</v>
      </c>
    </row>
    <row r="39" spans="1:12" x14ac:dyDescent="0.35">
      <c r="A39">
        <v>536401</v>
      </c>
      <c r="B39">
        <v>21790</v>
      </c>
      <c r="C39" t="s">
        <v>62</v>
      </c>
      <c r="D39">
        <v>12</v>
      </c>
      <c r="E39" s="1">
        <v>40513.600694444445</v>
      </c>
      <c r="F39">
        <v>1.25</v>
      </c>
      <c r="G39">
        <v>14527</v>
      </c>
      <c r="H39" t="s">
        <v>20</v>
      </c>
      <c r="I39">
        <f t="shared" si="0"/>
        <v>15</v>
      </c>
      <c r="J39">
        <f t="shared" si="1"/>
        <v>12</v>
      </c>
      <c r="K39">
        <f t="shared" si="2"/>
        <v>2010</v>
      </c>
      <c r="L39" t="str">
        <f t="shared" si="3"/>
        <v>Wednesday</v>
      </c>
    </row>
    <row r="40" spans="1:12" x14ac:dyDescent="0.35">
      <c r="A40">
        <v>536402</v>
      </c>
      <c r="B40">
        <v>21977</v>
      </c>
      <c r="C40" t="s">
        <v>63</v>
      </c>
      <c r="D40">
        <v>24</v>
      </c>
      <c r="E40" s="1">
        <v>40513.607638888891</v>
      </c>
      <c r="F40">
        <v>0.55000000000000004</v>
      </c>
      <c r="G40">
        <v>13263</v>
      </c>
      <c r="H40" t="s">
        <v>14</v>
      </c>
      <c r="I40">
        <f t="shared" si="0"/>
        <v>13.200000000000001</v>
      </c>
      <c r="J40">
        <f t="shared" si="1"/>
        <v>12</v>
      </c>
      <c r="K40">
        <f t="shared" si="2"/>
        <v>2010</v>
      </c>
      <c r="L40" t="str">
        <f t="shared" si="3"/>
        <v>Wednesday</v>
      </c>
    </row>
    <row r="41" spans="1:12" x14ac:dyDescent="0.35">
      <c r="A41">
        <v>536403</v>
      </c>
      <c r="B41">
        <v>21975</v>
      </c>
      <c r="C41" t="s">
        <v>64</v>
      </c>
      <c r="D41">
        <v>24</v>
      </c>
      <c r="E41" s="1">
        <v>40513.614583333336</v>
      </c>
      <c r="F41">
        <v>0.55000000000000004</v>
      </c>
      <c r="G41">
        <v>13694</v>
      </c>
      <c r="H41" t="s">
        <v>36</v>
      </c>
      <c r="I41">
        <f t="shared" si="0"/>
        <v>13.200000000000001</v>
      </c>
      <c r="J41">
        <f t="shared" si="1"/>
        <v>12</v>
      </c>
      <c r="K41">
        <f t="shared" si="2"/>
        <v>2010</v>
      </c>
      <c r="L41" t="str">
        <f t="shared" si="3"/>
        <v>Wednesday</v>
      </c>
    </row>
    <row r="42" spans="1:12" x14ac:dyDescent="0.35">
      <c r="A42">
        <v>536404</v>
      </c>
      <c r="B42">
        <v>22111</v>
      </c>
      <c r="C42" t="s">
        <v>65</v>
      </c>
      <c r="D42">
        <v>5</v>
      </c>
      <c r="E42" s="1">
        <v>40513.625</v>
      </c>
      <c r="F42">
        <v>4.95</v>
      </c>
      <c r="G42">
        <v>15061</v>
      </c>
      <c r="H42" t="s">
        <v>14</v>
      </c>
      <c r="I42">
        <f t="shared" si="0"/>
        <v>24.75</v>
      </c>
      <c r="J42">
        <f t="shared" si="1"/>
        <v>12</v>
      </c>
      <c r="K42">
        <f t="shared" si="2"/>
        <v>2010</v>
      </c>
      <c r="L42" t="str">
        <f t="shared" si="3"/>
        <v>Wednesday</v>
      </c>
    </row>
    <row r="43" spans="1:12" x14ac:dyDescent="0.35">
      <c r="A43">
        <v>536405</v>
      </c>
      <c r="B43">
        <v>22112</v>
      </c>
      <c r="C43" t="s">
        <v>66</v>
      </c>
      <c r="D43">
        <v>6</v>
      </c>
      <c r="E43" s="1">
        <v>40513.631944444445</v>
      </c>
      <c r="F43">
        <v>4.95</v>
      </c>
      <c r="G43">
        <v>12791</v>
      </c>
      <c r="H43" t="s">
        <v>39</v>
      </c>
      <c r="I43">
        <f t="shared" si="0"/>
        <v>29.700000000000003</v>
      </c>
      <c r="J43">
        <f t="shared" si="1"/>
        <v>12</v>
      </c>
      <c r="K43">
        <f t="shared" si="2"/>
        <v>2010</v>
      </c>
      <c r="L43" t="str">
        <f t="shared" si="3"/>
        <v>Wednesday</v>
      </c>
    </row>
    <row r="44" spans="1:12" x14ac:dyDescent="0.35">
      <c r="A44">
        <v>536406</v>
      </c>
      <c r="B44">
        <v>22113</v>
      </c>
      <c r="C44" t="s">
        <v>67</v>
      </c>
      <c r="D44">
        <v>5</v>
      </c>
      <c r="E44" s="1">
        <v>40513.638888888891</v>
      </c>
      <c r="F44">
        <v>4.95</v>
      </c>
      <c r="G44">
        <v>12557</v>
      </c>
      <c r="H44" t="s">
        <v>20</v>
      </c>
      <c r="I44">
        <f t="shared" si="0"/>
        <v>24.75</v>
      </c>
      <c r="J44">
        <f t="shared" si="1"/>
        <v>12</v>
      </c>
      <c r="K44">
        <f t="shared" si="2"/>
        <v>2010</v>
      </c>
      <c r="L44" t="str">
        <f t="shared" si="3"/>
        <v>Wednesday</v>
      </c>
    </row>
    <row r="45" spans="1:12" x14ac:dyDescent="0.35">
      <c r="A45">
        <v>536407</v>
      </c>
      <c r="B45">
        <v>22423</v>
      </c>
      <c r="C45" t="s">
        <v>68</v>
      </c>
      <c r="D45">
        <v>3</v>
      </c>
      <c r="E45" s="1">
        <v>40513.649305555555</v>
      </c>
      <c r="F45">
        <v>12.75</v>
      </c>
      <c r="G45">
        <v>14769</v>
      </c>
      <c r="H45" t="s">
        <v>14</v>
      </c>
      <c r="I45">
        <f t="shared" si="0"/>
        <v>38.25</v>
      </c>
      <c r="J45">
        <f t="shared" si="1"/>
        <v>12</v>
      </c>
      <c r="K45">
        <f t="shared" si="2"/>
        <v>2010</v>
      </c>
      <c r="L45" t="str">
        <f t="shared" si="3"/>
        <v>Wednesday</v>
      </c>
    </row>
    <row r="46" spans="1:12" x14ac:dyDescent="0.35">
      <c r="A46">
        <v>536408</v>
      </c>
      <c r="B46">
        <v>22424</v>
      </c>
      <c r="C46" t="s">
        <v>69</v>
      </c>
      <c r="D46">
        <v>2</v>
      </c>
      <c r="E46" s="1">
        <v>40513.659722222219</v>
      </c>
      <c r="F46">
        <v>14.95</v>
      </c>
      <c r="G46">
        <v>16029</v>
      </c>
      <c r="H46" t="s">
        <v>14</v>
      </c>
      <c r="I46">
        <f t="shared" si="0"/>
        <v>29.9</v>
      </c>
      <c r="J46">
        <f t="shared" si="1"/>
        <v>12</v>
      </c>
      <c r="K46">
        <f t="shared" si="2"/>
        <v>2010</v>
      </c>
      <c r="L46" t="str">
        <f t="shared" si="3"/>
        <v>Wednesday</v>
      </c>
    </row>
    <row r="47" spans="1:12" x14ac:dyDescent="0.35">
      <c r="A47">
        <v>536409</v>
      </c>
      <c r="B47">
        <v>22425</v>
      </c>
      <c r="C47" t="s">
        <v>70</v>
      </c>
      <c r="D47">
        <v>4</v>
      </c>
      <c r="E47" s="1">
        <v>40513.666666666664</v>
      </c>
      <c r="F47">
        <v>4.95</v>
      </c>
      <c r="G47">
        <v>12415</v>
      </c>
      <c r="H47" t="s">
        <v>30</v>
      </c>
      <c r="I47">
        <f t="shared" si="0"/>
        <v>19.8</v>
      </c>
      <c r="J47">
        <f t="shared" si="1"/>
        <v>12</v>
      </c>
      <c r="K47">
        <f t="shared" si="2"/>
        <v>2010</v>
      </c>
      <c r="L47" t="str">
        <f t="shared" si="3"/>
        <v>Wednesday</v>
      </c>
    </row>
    <row r="48" spans="1:12" x14ac:dyDescent="0.35">
      <c r="A48">
        <v>536410</v>
      </c>
      <c r="B48">
        <v>22426</v>
      </c>
      <c r="C48" t="s">
        <v>71</v>
      </c>
      <c r="D48">
        <v>3</v>
      </c>
      <c r="E48" s="1">
        <v>40513.677083333336</v>
      </c>
      <c r="F48">
        <v>7.95</v>
      </c>
      <c r="G48">
        <v>15498</v>
      </c>
      <c r="H48" t="s">
        <v>14</v>
      </c>
      <c r="I48">
        <f t="shared" si="0"/>
        <v>23.85</v>
      </c>
      <c r="J48">
        <f t="shared" si="1"/>
        <v>12</v>
      </c>
      <c r="K48">
        <f t="shared" si="2"/>
        <v>2010</v>
      </c>
      <c r="L48" t="str">
        <f t="shared" si="3"/>
        <v>Wednesday</v>
      </c>
    </row>
    <row r="49" spans="1:12" x14ac:dyDescent="0.35">
      <c r="A49">
        <v>536411</v>
      </c>
      <c r="B49">
        <v>22427</v>
      </c>
      <c r="C49" t="s">
        <v>72</v>
      </c>
      <c r="D49">
        <v>5</v>
      </c>
      <c r="E49" s="1">
        <v>40513.684027777781</v>
      </c>
      <c r="F49">
        <v>5.95</v>
      </c>
      <c r="G49">
        <v>16752</v>
      </c>
      <c r="H49" t="s">
        <v>14</v>
      </c>
      <c r="I49">
        <f t="shared" si="0"/>
        <v>29.75</v>
      </c>
      <c r="J49">
        <f t="shared" si="1"/>
        <v>12</v>
      </c>
      <c r="K49">
        <f t="shared" si="2"/>
        <v>2010</v>
      </c>
      <c r="L49" t="str">
        <f t="shared" si="3"/>
        <v>Wednesday</v>
      </c>
    </row>
    <row r="50" spans="1:12" x14ac:dyDescent="0.35">
      <c r="A50">
        <v>536412</v>
      </c>
      <c r="B50">
        <v>22428</v>
      </c>
      <c r="C50" t="s">
        <v>73</v>
      </c>
      <c r="D50">
        <v>2</v>
      </c>
      <c r="E50" s="1">
        <v>40513.694444444445</v>
      </c>
      <c r="F50">
        <v>9.9499999999999993</v>
      </c>
      <c r="G50">
        <v>17377</v>
      </c>
      <c r="H50" t="s">
        <v>14</v>
      </c>
      <c r="I50">
        <f t="shared" si="0"/>
        <v>19.899999999999999</v>
      </c>
      <c r="J50">
        <f t="shared" si="1"/>
        <v>12</v>
      </c>
      <c r="K50">
        <f t="shared" si="2"/>
        <v>2010</v>
      </c>
      <c r="L50" t="str">
        <f t="shared" si="3"/>
        <v>Wednesday</v>
      </c>
    </row>
    <row r="51" spans="1:12" x14ac:dyDescent="0.35">
      <c r="A51">
        <v>536413</v>
      </c>
      <c r="B51">
        <v>22429</v>
      </c>
      <c r="C51" t="s">
        <v>74</v>
      </c>
      <c r="D51">
        <v>6</v>
      </c>
      <c r="E51" s="1">
        <v>40513.701388888891</v>
      </c>
      <c r="F51">
        <v>4.25</v>
      </c>
      <c r="G51">
        <v>12682</v>
      </c>
      <c r="H51" t="s">
        <v>20</v>
      </c>
      <c r="I51">
        <f t="shared" si="0"/>
        <v>25.5</v>
      </c>
      <c r="J51">
        <f t="shared" si="1"/>
        <v>12</v>
      </c>
      <c r="K51">
        <f t="shared" si="2"/>
        <v>2010</v>
      </c>
      <c r="L51" t="str">
        <f t="shared" si="3"/>
        <v>Wednesday</v>
      </c>
    </row>
    <row r="52" spans="1:12" x14ac:dyDescent="0.35">
      <c r="A52">
        <v>536414</v>
      </c>
      <c r="B52">
        <v>22430</v>
      </c>
      <c r="C52" t="s">
        <v>75</v>
      </c>
      <c r="D52">
        <v>2</v>
      </c>
      <c r="E52" s="1">
        <v>40513.708333333336</v>
      </c>
      <c r="F52">
        <v>12.95</v>
      </c>
      <c r="G52">
        <v>12838</v>
      </c>
      <c r="H52" t="s">
        <v>22</v>
      </c>
      <c r="I52">
        <f t="shared" si="0"/>
        <v>25.9</v>
      </c>
      <c r="J52">
        <f t="shared" si="1"/>
        <v>12</v>
      </c>
      <c r="K52">
        <f t="shared" si="2"/>
        <v>2010</v>
      </c>
      <c r="L52" t="str">
        <f t="shared" si="3"/>
        <v>Wednesday</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 gajjar</cp:lastModifiedBy>
  <dcterms:created xsi:type="dcterms:W3CDTF">2026-06-29T08:16:51Z</dcterms:created>
  <dcterms:modified xsi:type="dcterms:W3CDTF">2026-07-06T10:58:57Z</dcterms:modified>
</cp:coreProperties>
</file>