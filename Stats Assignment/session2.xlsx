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 LATITUDE\Desktop\Statistics and Probability\Assignments\"/>
    </mc:Choice>
  </mc:AlternateContent>
  <xr:revisionPtr revIDLastSave="0" documentId="8_{CC8F8B56-8B0A-443F-98DC-A80CF3CCD5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Zomato Mock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 a="1"/>
  <c r="B39" i="1" a="1"/>
  <c r="B40" i="1" a="1"/>
  <c r="B41" i="1" a="1"/>
  <c r="B42" i="1" a="1"/>
  <c r="B43" i="1" a="1"/>
  <c r="B44" i="1" a="1"/>
  <c r="B45" i="1" a="1"/>
  <c r="B46" i="1" a="1"/>
  <c r="B47" i="1" a="1"/>
  <c r="B48" i="1" a="1"/>
  <c r="B49" i="1" a="1"/>
  <c r="B3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<sst xmlns="http://schemas.openxmlformats.org/spreadsheetml/2006/main" count="109" uniqueCount="77">
  <si>
    <t>Restaurant Name</t>
  </si>
  <si>
    <t>Cuisine Type</t>
  </si>
  <si>
    <t>Average Cost for Two</t>
  </si>
  <si>
    <t>User Rating</t>
  </si>
  <si>
    <t>City</t>
  </si>
  <si>
    <t>Open/Closed Status</t>
  </si>
  <si>
    <t>Spice Villa</t>
  </si>
  <si>
    <t>North Indian</t>
  </si>
  <si>
    <t>Ahmedabad</t>
  </si>
  <si>
    <t>Open</t>
  </si>
  <si>
    <t>Pizza Hub</t>
  </si>
  <si>
    <t>Italian</t>
  </si>
  <si>
    <t>Surat</t>
  </si>
  <si>
    <t>Dragon Bowl</t>
  </si>
  <si>
    <t>Chinese</t>
  </si>
  <si>
    <t>Vadodara</t>
  </si>
  <si>
    <t>Closed</t>
  </si>
  <si>
    <t>Royal Biryani</t>
  </si>
  <si>
    <t>Mughlai</t>
  </si>
  <si>
    <t>Rajkot</t>
  </si>
  <si>
    <t>Cafe Mocha</t>
  </si>
  <si>
    <t>Cafe</t>
  </si>
  <si>
    <t>Green Leaf</t>
  </si>
  <si>
    <t>Vegetarian</t>
  </si>
  <si>
    <t>Gandhinagar</t>
  </si>
  <si>
    <t>Taco Fiesta</t>
  </si>
  <si>
    <t>Mexican</t>
  </si>
  <si>
    <t>Mumbai</t>
  </si>
  <si>
    <t>Sushi World</t>
  </si>
  <si>
    <t>Japanese</t>
  </si>
  <si>
    <t>Bengaluru</t>
  </si>
  <si>
    <t>BBQ Nation</t>
  </si>
  <si>
    <t>Barbecue</t>
  </si>
  <si>
    <t>Pune</t>
  </si>
  <si>
    <t>Dosa Corner</t>
  </si>
  <si>
    <t>South Indian</t>
  </si>
  <si>
    <t>Chennai</t>
  </si>
  <si>
    <t>Urban Tadka</t>
  </si>
  <si>
    <t>Punjabi</t>
  </si>
  <si>
    <t>Delhi</t>
  </si>
  <si>
    <t>Burger Point</t>
  </si>
  <si>
    <t>Fast Food</t>
  </si>
  <si>
    <t>Jaipur</t>
  </si>
  <si>
    <t>Sea Breeze</t>
  </si>
  <si>
    <t>Seafood</t>
  </si>
  <si>
    <t>Goa</t>
  </si>
  <si>
    <t>Taste of Asia</t>
  </si>
  <si>
    <t>Thai</t>
  </si>
  <si>
    <t>Hyderabad</t>
  </si>
  <si>
    <t>Sweet House</t>
  </si>
  <si>
    <t>Desserts</t>
  </si>
  <si>
    <t>Lucknow</t>
  </si>
  <si>
    <t>Column Name</t>
  </si>
  <si>
    <t>Data Type</t>
  </si>
  <si>
    <t>Classification</t>
  </si>
  <si>
    <t>Categorical</t>
  </si>
  <si>
    <t>Nominal</t>
  </si>
  <si>
    <t>Numerical</t>
  </si>
  <si>
    <t>Continuous</t>
  </si>
  <si>
    <t>Explanation</t>
  </si>
  <si>
    <t>Date</t>
  </si>
  <si>
    <t>Time-Series (Temporal Data)</t>
  </si>
  <si>
    <t>The Date column records when each song was played. It is the time axis used to analyze listening trends over days, weeks, or months.</t>
  </si>
  <si>
    <t>Song Name</t>
  </si>
  <si>
    <t>Categorical (Nominal)</t>
  </si>
  <si>
    <t>Play Count per Day</t>
  </si>
  <si>
    <t>Numerical (Discrete)</t>
  </si>
  <si>
    <t>Value</t>
  </si>
  <si>
    <t>UPI</t>
  </si>
  <si>
    <t>Credit Card</t>
  </si>
  <si>
    <t>COD</t>
  </si>
  <si>
    <t>Pending</t>
  </si>
  <si>
    <t>Shipped</t>
  </si>
  <si>
    <t>Out for Delivery</t>
  </si>
  <si>
    <t>Delivered</t>
  </si>
  <si>
    <t>2025-01-15</t>
  </si>
  <si>
    <t>2025-08-30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</si>
</sst>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C4F55-FFBB-4E1A-AB2B-3D8562139C48}" name="Table1" displayName="Table1" ref="A1:F16" totalsRowShown="0" headerRowDxfId="4">
  <autoFilter ref="A1:F16" xr:uid="{9F0C4F55-FFBB-4E1A-AB2B-3D8562139C48}"/>
  <tableColumns count="6">
    <tableColumn id="1" xr3:uid="{3C5DC363-01B1-4625-A00D-773AD9FDE325}" name="Restaurant Name"/>
    <tableColumn id="2" xr3:uid="{BA978A6E-F8DD-4096-BFDA-438BAE315A19}" name="Cuisine Type"/>
    <tableColumn id="3" xr3:uid="{C27FDF11-403B-41C7-82F1-9526DEF0564F}" name="Average Cost for Two"/>
    <tableColumn id="4" xr3:uid="{B08B3700-8DCC-4B8C-883D-84377DE6710E}" name="User Rating"/>
    <tableColumn id="5" xr3:uid="{71596EA8-46A9-4455-8A5F-ABF568E510EA}" name="City"/>
    <tableColumn id="6" xr3:uid="{AB6A9756-5D6B-43F1-8A90-AF32A5619E0F}" name="Open/Closed 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A5FC59-EB66-45DB-91EC-64F1F2E72097}" name="Table2" displayName="Table2" ref="A19:C25" totalsRowShown="0" headerRowDxfId="0">
  <autoFilter ref="A19:C25" xr:uid="{38A5FC59-EB66-45DB-91EC-64F1F2E72097}"/>
  <tableColumns count="3">
    <tableColumn id="1" xr3:uid="{39732CE1-42CB-43E1-BB6B-32D2C62D437B}" name="Column Name" dataDxfId="3"/>
    <tableColumn id="2" xr3:uid="{122B9760-88DC-4D20-AE90-987143AB2136}" name="Data Type" dataDxfId="2"/>
    <tableColumn id="3" xr3:uid="{080BBBFC-C97D-482E-AB7A-D82881DFADB2}" name="Classificati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0" workbookViewId="0">
      <selection activeCell="E38" sqref="E38"/>
    </sheetView>
  </sheetViews>
  <sheetFormatPr defaultRowHeight="14.4" x14ac:dyDescent="0.3"/>
  <cols>
    <col min="1" max="1" width="17.44140625" customWidth="1"/>
    <col min="2" max="2" width="13.44140625" customWidth="1"/>
    <col min="3" max="3" width="20.77734375" customWidth="1"/>
    <col min="4" max="4" width="12.44140625" customWidth="1"/>
    <col min="6" max="6" width="1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800</v>
      </c>
      <c r="D2">
        <v>4.3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>
        <v>1200</v>
      </c>
      <c r="D3">
        <v>4.5</v>
      </c>
      <c r="E3" t="s">
        <v>12</v>
      </c>
      <c r="F3" t="s">
        <v>9</v>
      </c>
    </row>
    <row r="4" spans="1:6" x14ac:dyDescent="0.3">
      <c r="A4" t="s">
        <v>13</v>
      </c>
      <c r="B4" t="s">
        <v>14</v>
      </c>
      <c r="C4">
        <v>900</v>
      </c>
      <c r="D4">
        <v>4.0999999999999996</v>
      </c>
      <c r="E4" t="s">
        <v>15</v>
      </c>
      <c r="F4" t="s">
        <v>16</v>
      </c>
    </row>
    <row r="5" spans="1:6" x14ac:dyDescent="0.3">
      <c r="A5" t="s">
        <v>17</v>
      </c>
      <c r="B5" t="s">
        <v>18</v>
      </c>
      <c r="C5">
        <v>700</v>
      </c>
      <c r="D5">
        <v>4.4000000000000004</v>
      </c>
      <c r="E5" t="s">
        <v>19</v>
      </c>
      <c r="F5" t="s">
        <v>9</v>
      </c>
    </row>
    <row r="6" spans="1:6" x14ac:dyDescent="0.3">
      <c r="A6" t="s">
        <v>20</v>
      </c>
      <c r="B6" t="s">
        <v>21</v>
      </c>
      <c r="C6">
        <v>650</v>
      </c>
      <c r="D6">
        <v>4</v>
      </c>
      <c r="E6" t="s">
        <v>8</v>
      </c>
      <c r="F6" t="s">
        <v>9</v>
      </c>
    </row>
    <row r="7" spans="1:6" x14ac:dyDescent="0.3">
      <c r="A7" t="s">
        <v>22</v>
      </c>
      <c r="B7" t="s">
        <v>23</v>
      </c>
      <c r="C7">
        <v>500</v>
      </c>
      <c r="D7">
        <v>3.9</v>
      </c>
      <c r="E7" t="s">
        <v>24</v>
      </c>
      <c r="F7" t="s">
        <v>16</v>
      </c>
    </row>
    <row r="8" spans="1:6" x14ac:dyDescent="0.3">
      <c r="A8" t="s">
        <v>25</v>
      </c>
      <c r="B8" t="s">
        <v>26</v>
      </c>
      <c r="C8">
        <v>1100</v>
      </c>
      <c r="D8">
        <v>4.5999999999999996</v>
      </c>
      <c r="E8" t="s">
        <v>27</v>
      </c>
      <c r="F8" t="s">
        <v>9</v>
      </c>
    </row>
    <row r="9" spans="1:6" x14ac:dyDescent="0.3">
      <c r="A9" t="s">
        <v>28</v>
      </c>
      <c r="B9" t="s">
        <v>29</v>
      </c>
      <c r="C9">
        <v>1800</v>
      </c>
      <c r="D9">
        <v>4.8</v>
      </c>
      <c r="E9" t="s">
        <v>30</v>
      </c>
      <c r="F9" t="s">
        <v>9</v>
      </c>
    </row>
    <row r="10" spans="1:6" x14ac:dyDescent="0.3">
      <c r="A10" t="s">
        <v>31</v>
      </c>
      <c r="B10" t="s">
        <v>32</v>
      </c>
      <c r="C10">
        <v>1600</v>
      </c>
      <c r="D10">
        <v>4.2</v>
      </c>
      <c r="E10" t="s">
        <v>33</v>
      </c>
      <c r="F10" t="s">
        <v>16</v>
      </c>
    </row>
    <row r="11" spans="1:6" x14ac:dyDescent="0.3">
      <c r="A11" t="s">
        <v>34</v>
      </c>
      <c r="B11" t="s">
        <v>35</v>
      </c>
      <c r="C11">
        <v>400</v>
      </c>
      <c r="D11">
        <v>4.0999999999999996</v>
      </c>
      <c r="E11" t="s">
        <v>36</v>
      </c>
      <c r="F11" t="s">
        <v>9</v>
      </c>
    </row>
    <row r="12" spans="1:6" x14ac:dyDescent="0.3">
      <c r="A12" t="s">
        <v>37</v>
      </c>
      <c r="B12" t="s">
        <v>38</v>
      </c>
      <c r="C12">
        <v>950</v>
      </c>
      <c r="D12">
        <v>4.5</v>
      </c>
      <c r="E12" t="s">
        <v>39</v>
      </c>
      <c r="F12" t="s">
        <v>9</v>
      </c>
    </row>
    <row r="13" spans="1:6" x14ac:dyDescent="0.3">
      <c r="A13" t="s">
        <v>40</v>
      </c>
      <c r="B13" t="s">
        <v>41</v>
      </c>
      <c r="C13">
        <v>550</v>
      </c>
      <c r="D13">
        <v>3.8</v>
      </c>
      <c r="E13" t="s">
        <v>42</v>
      </c>
      <c r="F13" t="s">
        <v>16</v>
      </c>
    </row>
    <row r="14" spans="1:6" x14ac:dyDescent="0.3">
      <c r="A14" t="s">
        <v>43</v>
      </c>
      <c r="B14" t="s">
        <v>44</v>
      </c>
      <c r="C14">
        <v>1400</v>
      </c>
      <c r="D14">
        <v>4.7</v>
      </c>
      <c r="E14" t="s">
        <v>45</v>
      </c>
      <c r="F14" t="s">
        <v>9</v>
      </c>
    </row>
    <row r="15" spans="1:6" x14ac:dyDescent="0.3">
      <c r="A15" t="s">
        <v>46</v>
      </c>
      <c r="B15" t="s">
        <v>47</v>
      </c>
      <c r="C15">
        <v>1300</v>
      </c>
      <c r="D15">
        <v>4.3</v>
      </c>
      <c r="E15" t="s">
        <v>48</v>
      </c>
      <c r="F15" t="s">
        <v>9</v>
      </c>
    </row>
    <row r="16" spans="1:6" x14ac:dyDescent="0.3">
      <c r="A16" t="s">
        <v>49</v>
      </c>
      <c r="B16" t="s">
        <v>50</v>
      </c>
      <c r="C16">
        <v>350</v>
      </c>
      <c r="D16">
        <v>4.2</v>
      </c>
      <c r="E16" t="s">
        <v>51</v>
      </c>
      <c r="F16" t="s">
        <v>16</v>
      </c>
    </row>
    <row r="19" spans="1:4" x14ac:dyDescent="0.3">
      <c r="A19" s="2" t="s">
        <v>52</v>
      </c>
      <c r="B19" s="2" t="s">
        <v>53</v>
      </c>
      <c r="C19" s="2" t="s">
        <v>54</v>
      </c>
      <c r="D19" s="2"/>
    </row>
    <row r="20" spans="1:4" x14ac:dyDescent="0.3">
      <c r="A20" s="3" t="s">
        <v>0</v>
      </c>
      <c r="B20" s="3" t="s">
        <v>55</v>
      </c>
      <c r="C20" s="4" t="s">
        <v>56</v>
      </c>
      <c r="D20" s="3"/>
    </row>
    <row r="21" spans="1:4" x14ac:dyDescent="0.3">
      <c r="A21" s="3" t="s">
        <v>1</v>
      </c>
      <c r="B21" s="3" t="s">
        <v>55</v>
      </c>
      <c r="C21" s="4" t="s">
        <v>56</v>
      </c>
      <c r="D21" s="3"/>
    </row>
    <row r="22" spans="1:4" ht="28.8" x14ac:dyDescent="0.3">
      <c r="A22" s="3" t="s">
        <v>2</v>
      </c>
      <c r="B22" s="3" t="s">
        <v>57</v>
      </c>
      <c r="C22" s="4" t="s">
        <v>58</v>
      </c>
      <c r="D22" s="3"/>
    </row>
    <row r="23" spans="1:4" x14ac:dyDescent="0.3">
      <c r="A23" s="3" t="s">
        <v>3</v>
      </c>
      <c r="B23" s="3" t="s">
        <v>57</v>
      </c>
      <c r="C23" s="4" t="s">
        <v>58</v>
      </c>
      <c r="D23" s="3"/>
    </row>
    <row r="24" spans="1:4" x14ac:dyDescent="0.3">
      <c r="A24" s="3" t="s">
        <v>4</v>
      </c>
      <c r="B24" s="3" t="s">
        <v>55</v>
      </c>
      <c r="C24" s="4" t="s">
        <v>56</v>
      </c>
      <c r="D24" s="3"/>
    </row>
    <row r="25" spans="1:4" x14ac:dyDescent="0.3">
      <c r="A25" s="3" t="s">
        <v>5</v>
      </c>
      <c r="B25" s="3" t="s">
        <v>55</v>
      </c>
      <c r="C25" s="4" t="s">
        <v>56</v>
      </c>
    </row>
    <row r="29" spans="1:4" x14ac:dyDescent="0.3">
      <c r="A29" s="5" t="s">
        <v>52</v>
      </c>
      <c r="B29" s="5" t="s">
        <v>53</v>
      </c>
      <c r="C29" s="6" t="s">
        <v>59</v>
      </c>
      <c r="D29" s="6"/>
    </row>
    <row r="30" spans="1:4" ht="100.8" customHeight="1" x14ac:dyDescent="0.3">
      <c r="A30" s="7" t="s">
        <v>60</v>
      </c>
      <c r="B30" s="7" t="s">
        <v>61</v>
      </c>
      <c r="C30" s="8" t="s">
        <v>62</v>
      </c>
      <c r="D30" s="8"/>
    </row>
    <row r="31" spans="1:4" ht="28.8" x14ac:dyDescent="0.3">
      <c r="A31" s="7" t="s">
        <v>63</v>
      </c>
      <c r="B31" s="7" t="s">
        <v>64</v>
      </c>
      <c r="C31" s="8" t="s">
        <v>62</v>
      </c>
      <c r="D31" s="8"/>
    </row>
    <row r="32" spans="1:4" ht="28.8" x14ac:dyDescent="0.3">
      <c r="A32" s="7" t="s">
        <v>65</v>
      </c>
      <c r="B32" s="7" t="s">
        <v>66</v>
      </c>
      <c r="C32" s="8" t="s">
        <v>62</v>
      </c>
      <c r="D32" s="8"/>
    </row>
    <row r="36" spans="1:2" x14ac:dyDescent="0.3">
      <c r="A36" s="11" t="s">
        <v>67</v>
      </c>
    </row>
    <row r="37" spans="1:2" x14ac:dyDescent="0.3">
      <c r="A37" s="10" t="s">
        <v>68</v>
      </c>
      <c r="B37" s="10" t="str" cm="1">
        <f t="array" ref="B37">_xlfn.IFS(
ISNUMBER(A37),"Ratio",
ISNUMBER(DATEVALUE(A37)),"Interval",
OR(A37="Pending",A37="Shipped",A37="Delivered"),"Ordinal",
TRUE,"Nominal"
)</f>
        <v>Nominal</v>
      </c>
    </row>
    <row r="38" spans="1:2" x14ac:dyDescent="0.3">
      <c r="A38" s="10" t="s">
        <v>69</v>
      </c>
      <c r="B38" s="10" t="str" cm="1">
        <f t="array" ref="B38">_xlfn.IFS(
ISNUMBER(A38),"Ratio",
ISNUMBER(DATEVALUE(A38)),"Interval",
OR(A38="Pending",A38="Shipped",A38="Delivered"),"Ordinal",
TRUE,"Nominal"
)</f>
        <v>Nominal</v>
      </c>
    </row>
    <row r="39" spans="1:2" x14ac:dyDescent="0.3">
      <c r="A39" s="10" t="s">
        <v>70</v>
      </c>
      <c r="B39" s="10" t="str" cm="1">
        <f t="array" ref="B39">_xlfn.IFS(
ISNUMBER(A39),"Ratio",
ISNUMBER(DATEVALUE(A39)),"Interval",
OR(A39="Pending",A39="Shipped",A39="Delivered"),"Ordinal",
TRUE,"Nominal"
)</f>
        <v>Nominal</v>
      </c>
    </row>
    <row r="40" spans="1:2" x14ac:dyDescent="0.3">
      <c r="A40" s="10" t="s">
        <v>71</v>
      </c>
      <c r="B40" s="10" t="str" cm="1">
        <f t="array" ref="B40">_xlfn.IFS(
ISNUMBER(A40),"Ratio",
ISNUMBER(DATEVALUE(A40)),"Interval",
OR(A40="Pending",A40="Shipped",A40="Delivered"),"Ordinal",
TRUE,"Nominal"
)</f>
        <v>Ordinal</v>
      </c>
    </row>
    <row r="41" spans="1:2" x14ac:dyDescent="0.3">
      <c r="A41" s="10" t="s">
        <v>72</v>
      </c>
      <c r="B41" s="10" t="str" cm="1">
        <f t="array" ref="B41">_xlfn.IFS(
ISNUMBER(A41),"Ratio",
ISNUMBER(DATEVALUE(A41)),"Interval",
OR(A41="Pending",A41="Shipped",A41="Delivered"),"Ordinal",
TRUE,"Nominal"
)</f>
        <v>Ordinal</v>
      </c>
    </row>
    <row r="42" spans="1:2" x14ac:dyDescent="0.3">
      <c r="A42" s="10" t="s">
        <v>73</v>
      </c>
      <c r="B42" s="10" t="str" cm="1">
        <f t="array" ref="B42">_xlfn.IFS(
ISNUMBER(A42),"Ratio",
ISNUMBER(DATEVALUE(A42)),"Interval",
OR(A42="Pending",A42="Shipped",A42="Delivered"),"Ordinal",
TRUE,"Nominal"
)</f>
        <v>Nominal</v>
      </c>
    </row>
    <row r="43" spans="1:2" x14ac:dyDescent="0.3">
      <c r="A43" s="10" t="s">
        <v>74</v>
      </c>
      <c r="B43" s="10" t="str" cm="1">
        <f t="array" ref="B43">_xlfn.IFS(
ISNUMBER(A43),"Ratio",
ISNUMBER(DATEVALUE(A43)),"Interval",
OR(A43="Pending",A43="Shipped",A43="Delivered"),"Ordinal",
TRUE,"Nominal"
)</f>
        <v>Ordinal</v>
      </c>
    </row>
    <row r="44" spans="1:2" x14ac:dyDescent="0.3">
      <c r="A44" s="9" t="s">
        <v>75</v>
      </c>
      <c r="B44" s="10" t="str" cm="1">
        <f t="array" ref="B44">_xlfn.IFS(
ISNUMBER(A44),"Ratio",
ISNUMBER(DATEVALUE(A44)),"Interval",
OR(A44="Pending",A44="Shipped",A44="Delivered"),"Ordinal",
TRUE,"Nominal"
)</f>
        <v>Interval</v>
      </c>
    </row>
    <row r="45" spans="1:2" x14ac:dyDescent="0.3">
      <c r="A45" s="9" t="s">
        <v>76</v>
      </c>
      <c r="B45" s="10" t="str" cm="1">
        <f t="array" ref="B45">_xlfn.IFS(
ISNUMBER(A45),"Ratio",
ISNUMBER(DATEVALUE(A45)),"Interval",
OR(A45="Pending",A45="Shipped",A45="Delivered"),"Ordinal",
TRUE,"Nominal"
)</f>
        <v>Interval</v>
      </c>
    </row>
    <row r="46" spans="1:2" x14ac:dyDescent="0.3">
      <c r="A46" s="10">
        <v>1200</v>
      </c>
      <c r="B46" s="10" t="str" cm="1">
        <f t="array" ref="B46">_xlfn.IFS(
ISNUMBER(A46),"Ratio",
ISNUMBER(DATEVALUE(A46)),"Interval",
OR(A46="Pending",A46="Shipped",A46="Delivered"),"Ordinal",
TRUE,"Nominal"
)</f>
        <v>Ratio</v>
      </c>
    </row>
    <row r="47" spans="1:2" x14ac:dyDescent="0.3">
      <c r="A47" s="10">
        <v>450.75</v>
      </c>
      <c r="B47" s="10" t="str" cm="1">
        <f t="array" ref="B47">_xlfn.IFS(
ISNUMBER(A47),"Ratio",
ISNUMBER(DATEVALUE(A47)),"Interval",
OR(A47="Pending",A47="Shipped",A47="Delivered"),"Ordinal",
TRUE,"Nominal"
)</f>
        <v>Ratio</v>
      </c>
    </row>
    <row r="48" spans="1:2" x14ac:dyDescent="0.3">
      <c r="A48" s="10">
        <v>0</v>
      </c>
      <c r="B48" s="10" t="str" cm="1">
        <f t="array" ref="B48">_xlfn.IFS(
ISNUMBER(A48),"Ratio",
ISNUMBER(DATEVALUE(A48)),"Interval",
OR(A48="Pending",A48="Shipped",A48="Delivered"),"Ordinal",
TRUE,"Nominal"
)</f>
        <v>Ratio</v>
      </c>
    </row>
    <row r="49" spans="1:2" x14ac:dyDescent="0.3">
      <c r="A49" s="10">
        <v>5</v>
      </c>
      <c r="B49" s="10" t="str" cm="1">
        <f t="array" ref="B49">_xlfn.IFS(
ISNUMBER(A49),"Ratio",
ISNUMBER(DATEVALUE(A49)),"Interval",
OR(A49="Pending",A49="Shipped",A49="Delivered"),"Ordinal",
TRUE,"Nominal"
)</f>
        <v>Ratio</v>
      </c>
    </row>
  </sheetData>
  <mergeCells count="4">
    <mergeCell ref="C30:D30"/>
    <mergeCell ref="C31:D31"/>
    <mergeCell ref="C32:D32"/>
    <mergeCell ref="C29:D29"/>
  </mergeCells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Mock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2026-06-22T03:39:02Z</dcterms:created>
  <dcterms:modified xsi:type="dcterms:W3CDTF">2026-06-22T04:04:49Z</dcterms:modified>
</cp:coreProperties>
</file>